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90ce625abe7faca3/Desktop/"/>
    </mc:Choice>
  </mc:AlternateContent>
  <xr:revisionPtr revIDLastSave="2" documentId="11_C60675D9383EA04CE280945C22E99B6A456CDB4F" xr6:coauthVersionLast="47" xr6:coauthVersionMax="47" xr10:uidLastSave="{2B369EF6-5AC9-4209-A382-55C5FEBD55F6}"/>
  <bookViews>
    <workbookView xWindow="-108" yWindow="-108" windowWidth="23256" windowHeight="13896" tabRatio="500" activeTab="2" xr2:uid="{00000000-000D-0000-FFFF-FFFF00000000}"/>
  </bookViews>
  <sheets>
    <sheet name="Overview" sheetId="1" r:id="rId1"/>
    <sheet name="Dashboard" sheetId="2" r:id="rId2"/>
    <sheet name="Daily Tracker" sheetId="3" r:id="rId3"/>
    <sheet name="DSA Checklist" sheetId="4" r:id="rId4"/>
    <sheet name="AI Checklist" sheetId="5" r:id="rId5"/>
    <sheet name="DE Checklist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0" i="4" l="1"/>
  <c r="C20" i="4"/>
  <c r="E20" i="4" s="1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R38" i="3"/>
  <c r="Q38" i="3"/>
  <c r="P38" i="3"/>
  <c r="B38" i="3"/>
  <c r="R37" i="3"/>
  <c r="Q37" i="3"/>
  <c r="P37" i="3"/>
  <c r="B37" i="3"/>
  <c r="R36" i="3"/>
  <c r="Q36" i="3"/>
  <c r="P36" i="3"/>
  <c r="B36" i="3"/>
  <c r="R35" i="3"/>
  <c r="Q35" i="3"/>
  <c r="P35" i="3"/>
  <c r="B35" i="3"/>
  <c r="R34" i="3"/>
  <c r="Q34" i="3"/>
  <c r="P34" i="3"/>
  <c r="B34" i="3"/>
  <c r="R33" i="3"/>
  <c r="Q33" i="3"/>
  <c r="P33" i="3"/>
  <c r="B33" i="3"/>
  <c r="R32" i="3"/>
  <c r="Q32" i="3"/>
  <c r="P32" i="3"/>
  <c r="B32" i="3"/>
  <c r="R31" i="3"/>
  <c r="Q31" i="3"/>
  <c r="P31" i="3"/>
  <c r="B31" i="3"/>
  <c r="R30" i="3"/>
  <c r="Q30" i="3"/>
  <c r="P30" i="3"/>
  <c r="B30" i="3"/>
  <c r="R29" i="3"/>
  <c r="Q29" i="3"/>
  <c r="P29" i="3"/>
  <c r="B29" i="3"/>
  <c r="R28" i="3"/>
  <c r="Q28" i="3"/>
  <c r="P28" i="3"/>
  <c r="B28" i="3"/>
  <c r="R27" i="3"/>
  <c r="Q27" i="3"/>
  <c r="P27" i="3"/>
  <c r="B27" i="3"/>
  <c r="R26" i="3"/>
  <c r="Q26" i="3"/>
  <c r="P26" i="3"/>
  <c r="B26" i="3"/>
  <c r="R25" i="3"/>
  <c r="Q25" i="3"/>
  <c r="P25" i="3"/>
  <c r="B25" i="3"/>
  <c r="R24" i="3"/>
  <c r="Q24" i="3"/>
  <c r="P24" i="3"/>
  <c r="B24" i="3"/>
  <c r="R23" i="3"/>
  <c r="Q23" i="3"/>
  <c r="P23" i="3"/>
  <c r="B23" i="3"/>
  <c r="R22" i="3"/>
  <c r="Q22" i="3"/>
  <c r="P22" i="3"/>
  <c r="B22" i="3"/>
  <c r="R21" i="3"/>
  <c r="Q21" i="3"/>
  <c r="P21" i="3"/>
  <c r="B21" i="3"/>
  <c r="R20" i="3"/>
  <c r="Q20" i="3"/>
  <c r="P20" i="3"/>
  <c r="B20" i="3"/>
  <c r="R19" i="3"/>
  <c r="Q19" i="3"/>
  <c r="P19" i="3"/>
  <c r="B19" i="3"/>
  <c r="R18" i="3"/>
  <c r="Q18" i="3"/>
  <c r="P18" i="3"/>
  <c r="B18" i="3"/>
  <c r="R17" i="3"/>
  <c r="Q17" i="3"/>
  <c r="P17" i="3"/>
  <c r="B17" i="3"/>
  <c r="R16" i="3"/>
  <c r="Q16" i="3"/>
  <c r="P16" i="3"/>
  <c r="B16" i="3"/>
  <c r="R15" i="3"/>
  <c r="Q15" i="3"/>
  <c r="P15" i="3"/>
  <c r="B15" i="3"/>
  <c r="R14" i="3"/>
  <c r="Q14" i="3"/>
  <c r="P14" i="3"/>
  <c r="B14" i="3"/>
  <c r="R13" i="3"/>
  <c r="Q13" i="3"/>
  <c r="P13" i="3"/>
  <c r="B13" i="3"/>
  <c r="R12" i="3"/>
  <c r="Q12" i="3"/>
  <c r="P12" i="3"/>
  <c r="B12" i="3"/>
  <c r="R11" i="3"/>
  <c r="Q11" i="3"/>
  <c r="P11" i="3"/>
  <c r="B11" i="3"/>
  <c r="R10" i="3"/>
  <c r="Q10" i="3"/>
  <c r="P10" i="3"/>
  <c r="B10" i="3"/>
  <c r="R9" i="3"/>
  <c r="Q9" i="3"/>
  <c r="P9" i="3"/>
  <c r="B9" i="3"/>
  <c r="R8" i="3"/>
  <c r="Q8" i="3"/>
  <c r="P8" i="3"/>
  <c r="B8" i="3"/>
  <c r="R7" i="3"/>
  <c r="Q7" i="3"/>
  <c r="P7" i="3"/>
  <c r="C7" i="2" s="1"/>
  <c r="B7" i="3"/>
  <c r="R6" i="3"/>
  <c r="Q6" i="3"/>
  <c r="P6" i="3"/>
  <c r="B6" i="3"/>
  <c r="R5" i="3"/>
  <c r="Q5" i="3"/>
  <c r="P5" i="3"/>
  <c r="B5" i="3"/>
  <c r="R4" i="3"/>
  <c r="C6" i="2" s="1"/>
  <c r="Q4" i="3"/>
  <c r="D15" i="2" s="1"/>
  <c r="P4" i="3"/>
  <c r="B4" i="3"/>
  <c r="D19" i="2"/>
  <c r="C19" i="2"/>
  <c r="D18" i="2"/>
  <c r="C18" i="2"/>
  <c r="D17" i="2"/>
  <c r="C17" i="2"/>
  <c r="D16" i="2"/>
  <c r="C16" i="2"/>
  <c r="C15" i="2"/>
  <c r="C11" i="2"/>
  <c r="C10" i="2"/>
  <c r="C9" i="2"/>
  <c r="C8" i="1"/>
  <c r="C8" i="2" l="1"/>
  <c r="C5" i="2"/>
  <c r="C9" i="1" l="1"/>
  <c r="D5" i="2"/>
</calcChain>
</file>

<file path=xl/sharedStrings.xml><?xml version="1.0" encoding="utf-8"?>
<sst xmlns="http://schemas.openxmlformats.org/spreadsheetml/2006/main" count="465" uniqueCount="289">
  <si>
    <t>5-Week Final Year Prep Roadmap</t>
  </si>
  <si>
    <t>ENTC Final Year | Data Engineer Internship + DSA (Placements) + AI</t>
  </si>
  <si>
    <t>Plan Duration</t>
  </si>
  <si>
    <t>Start Date:</t>
  </si>
  <si>
    <t>End Date:</t>
  </si>
  <si>
    <t>Total Days:</t>
  </si>
  <si>
    <t>Overall Completion:</t>
  </si>
  <si>
    <t>How This Tracker Works</t>
  </si>
  <si>
    <t>1. Go to the 'Daily Tracker' sheet - it has one row per day for all 35 days (8 Jul - 11 Aug 2026).</t>
  </si>
  <si>
    <t>2. Each day has 3 tracks: DSA, AI, and Data Engineering (DE). A task is pre-filled for each track.</t>
  </si>
  <si>
    <t>3. Every evening, fill the 'Hrs Actual' column for each track with the real hours you spent.</t>
  </si>
  <si>
    <t>4. Change the Status dropdown (Not Started / In Progress / Done) for each track as you go.</t>
  </si>
  <si>
    <t xml:space="preserve">   Colors update automatically: grey = not started, yellow = in progress, green = done.</t>
  </si>
  <si>
    <t>5. 'Daily % Complete' and hour totals calculate automatically - don't touch those formula cells.</t>
  </si>
  <si>
    <t>6. Use the 'DSA Checklist', 'AI Checklist' and 'DE Checklist' sheets to track topic-wise problems</t>
  </si>
  <si>
    <t xml:space="preserve">   solved / modules completed. Update 'Solved/Done' and 'Status' columns; % completion auto-updates.</t>
  </si>
  <si>
    <t>7. Check the 'Dashboard' sheet anytime for your overall progress, weekly hours, and topic completion.</t>
  </si>
  <si>
    <t>8. Add blockers, doubts or notes in the 'Notes' column - review these every Sunday during your</t>
  </si>
  <si>
    <t xml:space="preserve">   weekly revision slot.</t>
  </si>
  <si>
    <t>Weekly Themes</t>
  </si>
  <si>
    <t>Week</t>
  </si>
  <si>
    <t>Dates</t>
  </si>
  <si>
    <t>DSA Focus</t>
  </si>
  <si>
    <t>AI Focus</t>
  </si>
  <si>
    <t>Data Engineering Focus</t>
  </si>
  <si>
    <t>Week 1</t>
  </si>
  <si>
    <t>8 - 14 Jul</t>
  </si>
  <si>
    <t>Arrays, Strings, Hashing</t>
  </si>
  <si>
    <t>Python/ML refresher, DL basics</t>
  </si>
  <si>
    <t>Advanced SQL, ETL &amp; data modeling basics</t>
  </si>
  <si>
    <t>Week 2</t>
  </si>
  <si>
    <t>15 - 21 Jul</t>
  </si>
  <si>
    <t>Linked List, Stack, Queue, Recursion</t>
  </si>
  <si>
    <t>Neural networks, CNN intro</t>
  </si>
  <si>
    <t>Airflow, pipeline design, data quality</t>
  </si>
  <si>
    <t>Week 3</t>
  </si>
  <si>
    <t>22 - 28 Jul</t>
  </si>
  <si>
    <t>Trees, BST, Heaps</t>
  </si>
  <si>
    <t>NLP, Transformers, LLMs, GenAI APIs</t>
  </si>
  <si>
    <t>Spark/PySpark, data warehousing</t>
  </si>
  <si>
    <t>Week 4</t>
  </si>
  <si>
    <t>29 Jul - 4 Aug</t>
  </si>
  <si>
    <t>Graphs, DP (intro)</t>
  </si>
  <si>
    <t>Build a GenAI mini project</t>
  </si>
  <si>
    <t>Cloud (AWS/GCP), dbt, pipeline project</t>
  </si>
  <si>
    <t>Week 5</t>
  </si>
  <si>
    <t>5 - 11 Aug</t>
  </si>
  <si>
    <t>DP (advanced), Greedy, Mock interviews</t>
  </si>
  <si>
    <t>Finish project, portfolio, ML interview prep</t>
  </si>
  <si>
    <t>Interview revision, resume + LinkedIn update</t>
  </si>
  <si>
    <t>Suggested Daily Time Budget (on top of internship work hours)</t>
  </si>
  <si>
    <t>Day Type</t>
  </si>
  <si>
    <t>DSA</t>
  </si>
  <si>
    <t>AI</t>
  </si>
  <si>
    <t>Data Engineering</t>
  </si>
  <si>
    <t>Total</t>
  </si>
  <si>
    <t>Weekday (Mon-Fri)</t>
  </si>
  <si>
    <t>1.5 hrs</t>
  </si>
  <si>
    <t>1 hr</t>
  </si>
  <si>
    <t>3.5 hrs</t>
  </si>
  <si>
    <t>Saturday (deep practice)</t>
  </si>
  <si>
    <t>2 hrs</t>
  </si>
  <si>
    <t>5 hrs</t>
  </si>
  <si>
    <t>Sunday (light revision)</t>
  </si>
  <si>
    <t>3 hrs</t>
  </si>
  <si>
    <t>Progress Dashboard</t>
  </si>
  <si>
    <t>Overall Progress</t>
  </si>
  <si>
    <t>Days Fully Complete</t>
  </si>
  <si>
    <t>Overall Completion %</t>
  </si>
  <si>
    <t>Total Hours Planned</t>
  </si>
  <si>
    <t>Total Hours Logged</t>
  </si>
  <si>
    <t>DSA Problems Solved</t>
  </si>
  <si>
    <t>AI Modules Done</t>
  </si>
  <si>
    <t>DE Topics Done</t>
  </si>
  <si>
    <t>Weekly Hours Summary</t>
  </si>
  <si>
    <t>Hrs Planned</t>
  </si>
  <si>
    <t>Hrs Actual</t>
  </si>
  <si>
    <t>Reminder: update Daily Tracker every evening and revisit this dashboard every Sunday.</t>
  </si>
  <si>
    <t>TotalDays</t>
  </si>
  <si>
    <t>Date</t>
  </si>
  <si>
    <t>Day</t>
  </si>
  <si>
    <t>DSA Task</t>
  </si>
  <si>
    <t>DSA Hrs
Planned</t>
  </si>
  <si>
    <t>DSA Hrs
Actual</t>
  </si>
  <si>
    <t>DSA Status</t>
  </si>
  <si>
    <t>AI Task</t>
  </si>
  <si>
    <t>AI Hrs
Planned</t>
  </si>
  <si>
    <t>AI Hrs
Actual</t>
  </si>
  <si>
    <t>AI Status</t>
  </si>
  <si>
    <t>DE Task (Internship + Self-study)</t>
  </si>
  <si>
    <t>DE Hrs
Planned</t>
  </si>
  <si>
    <t>DE Hrs
Actual</t>
  </si>
  <si>
    <t>DE Status</t>
  </si>
  <si>
    <t>Total Hrs
Planned</t>
  </si>
  <si>
    <t>Total Hrs
Actual</t>
  </si>
  <si>
    <t>Daily %
Complete</t>
  </si>
  <si>
    <t>Notes / Blockers</t>
  </si>
  <si>
    <t>Arrays: basics + 2-3 easy problems</t>
  </si>
  <si>
    <t>Not Started</t>
  </si>
  <si>
    <t>Python/NumPy/Pandas refresher</t>
  </si>
  <si>
    <t>SQL: joins &amp; subqueries revision</t>
  </si>
  <si>
    <t>Arrays: sliding window / two-pointer problems</t>
  </si>
  <si>
    <t>EDA practice on a sample dataset</t>
  </si>
  <si>
    <t>SQL: window functions practice</t>
  </si>
  <si>
    <t>Strings: basics + pattern problems</t>
  </si>
  <si>
    <t>Scikit-learn: regression &amp; classification refresher</t>
  </si>
  <si>
    <t>ETL concepts: extract/transform/load overview</t>
  </si>
  <si>
    <t>Strings: advanced (pattern matching)</t>
  </si>
  <si>
    <t>Model evaluation metrics (precision/recall/F1/ROC)</t>
  </si>
  <si>
    <t>Data modeling basics: star schema</t>
  </si>
  <si>
    <t>Hashing: HashMap/HashSet problems</t>
  </si>
  <si>
    <t>Intro to Deep Learning: perceptron &amp; NN basics</t>
  </si>
  <si>
    <t>Intro to Airflow: DAGs &amp; operators</t>
  </si>
  <si>
    <t>Timed practice: mixed Arrays+Strings+Hashing</t>
  </si>
  <si>
    <t>Read 2-3 articles/papers on LLMs &amp; GenAI trends</t>
  </si>
  <si>
    <t>Internship task deep-dive + mini pipeline exercise</t>
  </si>
  <si>
    <t>Revise Week 1 notes; redo 2 tough problems</t>
  </si>
  <si>
    <t>Consolidate Week 1 AI notes</t>
  </si>
  <si>
    <t>Consolidate Week 1 DE notes + internship review</t>
  </si>
  <si>
    <t>Linked List: basics + reversal problems</t>
  </si>
  <si>
    <t>Neural networks: forward/backprop deep dive</t>
  </si>
  <si>
    <t>Airflow: building your first DAG</t>
  </si>
  <si>
    <t>Linked List: advanced (cycle detection, merge)</t>
  </si>
  <si>
    <t>Activation functions &amp; loss functions</t>
  </si>
  <si>
    <t>Airflow: scheduling, sensors, XComs</t>
  </si>
  <si>
    <t>Stack: basics + problems (valid parens, monotonic stack)</t>
  </si>
  <si>
    <t>Intro to CNNs (convolution, pooling)</t>
  </si>
  <si>
    <t>Data pipeline design patterns</t>
  </si>
  <si>
    <t>Queue: basics + problems (circular queue, deque)</t>
  </si>
  <si>
    <t>Optimizers (SGD, Adam) &amp; regularization</t>
  </si>
  <si>
    <t>Data quality &amp; validation basics</t>
  </si>
  <si>
    <t>Recursion &amp; Backtracking basics</t>
  </si>
  <si>
    <t>Hands-on: small NN with PyTorch/TensorFlow</t>
  </si>
  <si>
    <t>Batch vs streaming concepts overview</t>
  </si>
  <si>
    <t>Timed practice: mixed Linked List+Stack+Queue+Recursion</t>
  </si>
  <si>
    <t>Mini project: image classifier or similar</t>
  </si>
  <si>
    <t>Internship task deep-dive + pipeline exercise</t>
  </si>
  <si>
    <t>Revise Week 2 notes; redo 2 tough problems</t>
  </si>
  <si>
    <t>Consolidate Week 2 AI notes</t>
  </si>
  <si>
    <t>Consolidate Week 2 DE notes + internship review</t>
  </si>
  <si>
    <t>Trees: traversals (inorder/preorder/postorder)</t>
  </si>
  <si>
    <t>NLP basics: tokenization, embeddings</t>
  </si>
  <si>
    <t>Intro to Apache Spark &amp; PySpark basics</t>
  </si>
  <si>
    <t>Trees: BST operations &amp; problems</t>
  </si>
  <si>
    <t>Intro to Transformers: attention mechanism</t>
  </si>
  <si>
    <t>PySpark: DataFrames &amp; transformations</t>
  </si>
  <si>
    <t>Heaps/Priority Queue: basics + problems</t>
  </si>
  <si>
    <t>LLMs overview: architecture &amp; use cases</t>
  </si>
  <si>
    <t>Data warehousing concepts (Snowflake/BigQuery/Redshift)</t>
  </si>
  <si>
    <t>Trees: advanced (LCA, diameter, balanced trees)</t>
  </si>
  <si>
    <t>Prompt engineering techniques</t>
  </si>
  <si>
    <t>Kimball modeling: fact &amp; dimension tables</t>
  </si>
  <si>
    <t>Two Pointers &amp; Sliding Window advanced problems</t>
  </si>
  <si>
    <t>GenAI APIs: OpenAI/Gemini/Groq hands-on</t>
  </si>
  <si>
    <t>Kafka/streaming basics overview</t>
  </si>
  <si>
    <t>Timed practice: mixed Trees+Heaps</t>
  </si>
  <si>
    <t>Mini project: build a simple LLM-powered app</t>
  </si>
  <si>
    <t>Internship task deep-dive + Spark exercise</t>
  </si>
  <si>
    <t>Revise Week 3 notes; redo 2 tough problems</t>
  </si>
  <si>
    <t>Consolidate Week 3 AI notes</t>
  </si>
  <si>
    <t>Consolidate Week 3 DE notes + internship review</t>
  </si>
  <si>
    <t>Graphs: BFS/DFS basics</t>
  </si>
  <si>
    <t>Plan GenAI mini project scope &amp; architecture</t>
  </si>
  <si>
    <t>Cloud basics: AWS/GCP core services overview</t>
  </si>
  <si>
    <t>Graphs: shortest path (Dijkstra, Bellman-Ford)</t>
  </si>
  <si>
    <t>Build project: data/API integration</t>
  </si>
  <si>
    <t>Cloud storage &amp; compute (S3/GCS, EC2/Compute Engine)</t>
  </si>
  <si>
    <t>Graphs: advanced (Union-Find, MST)</t>
  </si>
  <si>
    <t>Build project: core logic &amp; orchestration</t>
  </si>
  <si>
    <t>dbt basics: models &amp; transformations</t>
  </si>
  <si>
    <t>Dynamic Programming: intro (1D DP problems)</t>
  </si>
  <si>
    <t>Build project: UI/Streamlit frontend</t>
  </si>
  <si>
    <t>Build a mini end-to-end pipeline project</t>
  </si>
  <si>
    <t>Dynamic Programming: 2D DP problems</t>
  </si>
  <si>
    <t>Test &amp; debug project</t>
  </si>
  <si>
    <t>Pipeline project: testing &amp; orchestration</t>
  </si>
  <si>
    <t>Timed practice: mixed Graphs+DP</t>
  </si>
  <si>
    <t>Polish project + write documentation</t>
  </si>
  <si>
    <t>Internship task deep-dive + project polish</t>
  </si>
  <si>
    <t>Revise Week 4 notes; redo 2 tough problems</t>
  </si>
  <si>
    <t>Consolidate Week 4 AI notes</t>
  </si>
  <si>
    <t>Consolidate Week 4 DE notes + internship review</t>
  </si>
  <si>
    <t>Dynamic Programming: advanced (knapsack, LIS)</t>
  </si>
  <si>
    <t>Finalize GenAI project + deploy</t>
  </si>
  <si>
    <t>Revise SQL &amp; data modeling for interviews</t>
  </si>
  <si>
    <t>Greedy algorithms: problems</t>
  </si>
  <si>
    <t>Write project case study for portfolio/resume</t>
  </si>
  <si>
    <t>Revise Airflow/Spark/pipeline concepts</t>
  </si>
  <si>
    <t>Bit Manipulation: basics + problems</t>
  </si>
  <si>
    <t>Revise ML/DL fundamentals for interviews</t>
  </si>
  <si>
    <t>Mock Data Engineering interview questions</t>
  </si>
  <si>
    <t>Mock interview 1: mixed topics (timed)</t>
  </si>
  <si>
    <t>Mock AI/ML interview questions practice</t>
  </si>
  <si>
    <t>Update resume with internship + projects</t>
  </si>
  <si>
    <t>Mock interview 2: mixed topics (timed) + review mistakes</t>
  </si>
  <si>
    <t>Update portfolio with AI project</t>
  </si>
  <si>
    <t>Update LinkedIn with new skills/projects</t>
  </si>
  <si>
    <t>Full revision: flashcards/notes across all topics</t>
  </si>
  <si>
    <t>Final AI revision + notes consolidation</t>
  </si>
  <si>
    <t>Final DE revision + notes consolidation</t>
  </si>
  <si>
    <t>Final revision + rest before placements</t>
  </si>
  <si>
    <t>Rest / light review</t>
  </si>
  <si>
    <t>Topic</t>
  </si>
  <si>
    <t>Resource / Platform</t>
  </si>
  <si>
    <t>Target Problems</t>
  </si>
  <si>
    <t>Problems Solved</t>
  </si>
  <si>
    <t>% Complete</t>
  </si>
  <si>
    <t>Status</t>
  </si>
  <si>
    <t>Notes</t>
  </si>
  <si>
    <t>Arrays</t>
  </si>
  <si>
    <t>GeeksforGeeks / LeetCode / Striver Sheet</t>
  </si>
  <si>
    <t>Strings</t>
  </si>
  <si>
    <t>GeeksforGeeks / LeetCode</t>
  </si>
  <si>
    <t>Hashing</t>
  </si>
  <si>
    <t>LeetCode</t>
  </si>
  <si>
    <t>Two Pointers &amp; Sliding Window</t>
  </si>
  <si>
    <t>Linked List</t>
  </si>
  <si>
    <t>LeetCode / Striver Sheet</t>
  </si>
  <si>
    <t>Stack</t>
  </si>
  <si>
    <t>Queue</t>
  </si>
  <si>
    <t>Recursion &amp; Backtracking</t>
  </si>
  <si>
    <t>LeetCode / GeeksforGeeks</t>
  </si>
  <si>
    <t>Trees (Binary Tree/BST)</t>
  </si>
  <si>
    <t>Heaps / Priority Queue</t>
  </si>
  <si>
    <t>Graphs (BFS/DFS/Shortest Path)</t>
  </si>
  <si>
    <t>Dynamic Programming</t>
  </si>
  <si>
    <t>LeetCode / Striver DP Series</t>
  </si>
  <si>
    <t>Greedy Algorithms</t>
  </si>
  <si>
    <t>Bit Manipulation</t>
  </si>
  <si>
    <t>GeeksforGeeks</t>
  </si>
  <si>
    <t>Sorting &amp; Searching (Binary Search)</t>
  </si>
  <si>
    <t>Mock Interviews / Timed Contests</t>
  </si>
  <si>
    <t>LeetCode Contests / Pramp</t>
  </si>
  <si>
    <t>TOTAL</t>
  </si>
  <si>
    <t>Module / Topic</t>
  </si>
  <si>
    <t>Resource</t>
  </si>
  <si>
    <t>Python for AI (NumPy, Pandas)</t>
  </si>
  <si>
    <t>Kaggle Learn / Official docs</t>
  </si>
  <si>
    <t>ML Fundamentals (Scikit-learn)</t>
  </si>
  <si>
    <t>Scikit-learn docs / Andrew Ng course</t>
  </si>
  <si>
    <t>Model Evaluation Metrics</t>
  </si>
  <si>
    <t>Scikit-learn docs</t>
  </si>
  <si>
    <t>Deep Learning Basics (Perceptron, NN)</t>
  </si>
  <si>
    <t>DeepLearning.AI / 3Blue1Brown</t>
  </si>
  <si>
    <t>Neural Networks: Backprop &amp; Optimizers</t>
  </si>
  <si>
    <t>DeepLearning.AI</t>
  </si>
  <si>
    <t>CNNs (Convolution &amp; Pooling)</t>
  </si>
  <si>
    <t>DeepLearning.AI / PyTorch tutorials</t>
  </si>
  <si>
    <t>NLP Basics (Tokenization, Embeddings)</t>
  </si>
  <si>
    <t>HuggingFace course</t>
  </si>
  <si>
    <t>Transformers &amp; Attention Mechanism</t>
  </si>
  <si>
    <t>HuggingFace / Jay Alammar blog</t>
  </si>
  <si>
    <t>LLMs Overview &amp; Architecture</t>
  </si>
  <si>
    <t>HuggingFace / Anthropic docs</t>
  </si>
  <si>
    <t>Prompt Engineering Techniques</t>
  </si>
  <si>
    <t>Anthropic / OpenAI docs</t>
  </si>
  <si>
    <t>GenAI APIs (OpenAI / Gemini / Groq)</t>
  </si>
  <si>
    <t>Official API docs</t>
  </si>
  <si>
    <t>Build &amp; Ship a GenAI Mini Project</t>
  </si>
  <si>
    <t>Personal project</t>
  </si>
  <si>
    <t>Portfolio &amp; Resume Update (AI Project)</t>
  </si>
  <si>
    <t>Personal</t>
  </si>
  <si>
    <t>Advanced SQL (Joins, Window Functions, Subqueries)</t>
  </si>
  <si>
    <t>Mode SQL Tutorial / LeetCode SQL</t>
  </si>
  <si>
    <t>Data Modeling (Star/Snowflake Schema)</t>
  </si>
  <si>
    <t>Kimball Group resources</t>
  </si>
  <si>
    <t>ETL / ELT Concepts</t>
  </si>
  <si>
    <t>Official docs / internship guidance</t>
  </si>
  <si>
    <t>Apache Airflow (DAGs, Operators, Scheduling)</t>
  </si>
  <si>
    <t>Airflow official docs</t>
  </si>
  <si>
    <t>Data Pipeline Design Patterns</t>
  </si>
  <si>
    <t>Internship + articles</t>
  </si>
  <si>
    <t>Data Quality &amp; Validation</t>
  </si>
  <si>
    <t>Great Expectations docs</t>
  </si>
  <si>
    <t>Apache Spark / PySpark</t>
  </si>
  <si>
    <t>Spark official docs / Databricks Academy</t>
  </si>
  <si>
    <t>Data Warehousing (Snowflake/BigQuery/Redshift)</t>
  </si>
  <si>
    <t>Vendor docs</t>
  </si>
  <si>
    <t>Kafka / Streaming Basics</t>
  </si>
  <si>
    <t>Confluent docs</t>
  </si>
  <si>
    <t>Cloud Basics (AWS/GCP core services)</t>
  </si>
  <si>
    <t>AWS/GCP free tier docs</t>
  </si>
  <si>
    <t>dbt Basics (Models &amp; Transformations)</t>
  </si>
  <si>
    <t>dbt Labs docs</t>
  </si>
  <si>
    <t>End-to-End Pipeline Project</t>
  </si>
  <si>
    <t>Internship Deliverables</t>
  </si>
  <si>
    <t>Internship tasks</t>
  </si>
  <si>
    <t>Interview Revision &amp; Mock Questions</t>
  </si>
  <si>
    <t>GeeksforGeeks / InterviewBit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</si>
</sst>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0.0%"/>
    <numFmt numFmtId="166" formatCode="dd\-mmm&quot; (&quot;ddd\)"/>
    <numFmt numFmtId="167" formatCode="0.0"/>
  </numFmts>
  <fonts count="9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1"/>
      <color rgb="FF2E5395"/>
      <name val="Arial"/>
      <charset val="1"/>
    </font>
    <font>
      <b/>
      <sz val="12"/>
      <color rgb="FF2E5395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i/>
      <sz val="10"/>
      <color rgb="FF2E5395"/>
      <name val="Arial"/>
      <charset val="1"/>
    </font>
    <font>
      <sz val="8"/>
      <color rgb="FFFFFFFF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0" borderId="0" xfId="0" applyFont="1"/>
    <xf numFmtId="0" fontId="5" fillId="0" borderId="0" xfId="0" applyFont="1" applyAlignment="1">
      <alignment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9" fontId="5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8" fillId="0" borderId="0" xfId="0" applyFont="1"/>
    <xf numFmtId="166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167" fontId="5" fillId="5" borderId="1" xfId="0" applyNumberFormat="1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9" fontId="4" fillId="0" borderId="0" xfId="0" applyNumberFormat="1" applyFont="1"/>
  </cellXfs>
  <cellStyles count="1">
    <cellStyle name="Normal" xfId="0" builtinId="0"/>
  </cellStyles>
  <dxfs count="18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Planned vs Actual Hours per Week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Dashboard!$C$14</c:f>
              <c:strCache>
                <c:ptCount val="1"/>
                <c:pt idx="0">
                  <c:v>Hrs Planned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Dashboard!$C$15:$C$19</c:f>
              <c:numCache>
                <c:formatCode>General</c:formatCode>
                <c:ptCount val="5"/>
                <c:pt idx="0">
                  <c:v>25.5</c:v>
                </c:pt>
                <c:pt idx="1">
                  <c:v>25.5</c:v>
                </c:pt>
                <c:pt idx="2">
                  <c:v>25.5</c:v>
                </c:pt>
                <c:pt idx="3">
                  <c:v>25.5</c:v>
                </c:pt>
                <c:pt idx="4">
                  <c:v>25.5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8-4E73-BBEA-6C811636DAC2}"/>
            </c:ext>
          </c:extLst>
        </c:ser>
        <c:ser>
          <c:idx val="1"/>
          <c:order val="1"/>
          <c:tx>
            <c:strRef>
              <c:f>Dashboard!$D$14</c:f>
              <c:strCache>
                <c:ptCount val="1"/>
                <c:pt idx="0">
                  <c:v>Hrs Actual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Dashboard!$B$15:$B$19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Dashboard!$D$15:$D$19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8-4E73-BBEA-6C811636D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910313"/>
        <c:axId val="53474308"/>
      </c:barChart>
      <c:catAx>
        <c:axId val="999103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74308"/>
        <c:crosses val="autoZero"/>
        <c:auto val="1"/>
        <c:lblAlgn val="ctr"/>
        <c:lblOffset val="100"/>
        <c:noMultiLvlLbl val="0"/>
      </c:catAx>
      <c:valAx>
        <c:axId val="53474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9103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12</xdr:row>
      <xdr:rowOff>130680</xdr:rowOff>
    </xdr:from>
    <xdr:to>
      <xdr:col>13</xdr:col>
      <xdr:colOff>351360</xdr:colOff>
      <xdr:row>29</xdr:row>
      <xdr:rowOff>131760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6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3" width="55" customWidth="1"/>
    <col min="4" max="5" width="30" customWidth="1"/>
  </cols>
  <sheetData>
    <row r="2" spans="2:5" ht="21" x14ac:dyDescent="0.4">
      <c r="B2" s="3" t="s">
        <v>0</v>
      </c>
    </row>
    <row r="3" spans="2:5" x14ac:dyDescent="0.3">
      <c r="B3" s="4" t="s">
        <v>1</v>
      </c>
    </row>
    <row r="5" spans="2:5" ht="15.6" x14ac:dyDescent="0.3">
      <c r="B5" s="5" t="s">
        <v>2</v>
      </c>
    </row>
    <row r="6" spans="2:5" x14ac:dyDescent="0.3">
      <c r="B6" s="6" t="s">
        <v>3</v>
      </c>
      <c r="C6" s="7">
        <v>46211</v>
      </c>
    </row>
    <row r="7" spans="2:5" x14ac:dyDescent="0.3">
      <c r="B7" s="6" t="s">
        <v>4</v>
      </c>
      <c r="C7" s="7">
        <v>46245</v>
      </c>
    </row>
    <row r="8" spans="2:5" x14ac:dyDescent="0.3">
      <c r="B8" s="6" t="s">
        <v>5</v>
      </c>
      <c r="C8" s="8">
        <f>'Daily Tracker'!$B$1</f>
        <v>35</v>
      </c>
    </row>
    <row r="9" spans="2:5" x14ac:dyDescent="0.3">
      <c r="B9" s="6" t="s">
        <v>6</v>
      </c>
      <c r="C9" s="9">
        <f>Dashboard!C5</f>
        <v>0</v>
      </c>
    </row>
    <row r="11" spans="2:5" ht="15.6" x14ac:dyDescent="0.3">
      <c r="B11" s="5" t="s">
        <v>7</v>
      </c>
    </row>
    <row r="12" spans="2:5" ht="15" customHeight="1" x14ac:dyDescent="0.3">
      <c r="B12" s="2" t="s">
        <v>8</v>
      </c>
      <c r="C12" s="2"/>
      <c r="D12" s="2"/>
      <c r="E12" s="2"/>
    </row>
    <row r="13" spans="2:5" ht="15" customHeight="1" x14ac:dyDescent="0.3">
      <c r="B13" s="2" t="s">
        <v>9</v>
      </c>
      <c r="C13" s="2"/>
      <c r="D13" s="2"/>
      <c r="E13" s="2"/>
    </row>
    <row r="14" spans="2:5" ht="15" customHeight="1" x14ac:dyDescent="0.3">
      <c r="B14" s="2" t="s">
        <v>10</v>
      </c>
      <c r="C14" s="2"/>
      <c r="D14" s="2"/>
      <c r="E14" s="2"/>
    </row>
    <row r="15" spans="2:5" ht="15" customHeight="1" x14ac:dyDescent="0.3">
      <c r="B15" s="2" t="s">
        <v>11</v>
      </c>
      <c r="C15" s="2"/>
      <c r="D15" s="2"/>
      <c r="E15" s="2"/>
    </row>
    <row r="16" spans="2:5" ht="15" customHeight="1" x14ac:dyDescent="0.3">
      <c r="B16" s="2" t="s">
        <v>12</v>
      </c>
      <c r="C16" s="2"/>
      <c r="D16" s="2"/>
      <c r="E16" s="2"/>
    </row>
    <row r="17" spans="2:6" ht="15" customHeight="1" x14ac:dyDescent="0.3">
      <c r="B17" s="2" t="s">
        <v>13</v>
      </c>
      <c r="C17" s="2"/>
      <c r="D17" s="2"/>
      <c r="E17" s="2"/>
    </row>
    <row r="18" spans="2:6" ht="15" customHeight="1" x14ac:dyDescent="0.3">
      <c r="B18" s="2" t="s">
        <v>14</v>
      </c>
      <c r="C18" s="2"/>
      <c r="D18" s="2"/>
      <c r="E18" s="2"/>
    </row>
    <row r="19" spans="2:6" ht="15" customHeight="1" x14ac:dyDescent="0.3">
      <c r="B19" s="2" t="s">
        <v>15</v>
      </c>
      <c r="C19" s="2"/>
      <c r="D19" s="2"/>
      <c r="E19" s="2"/>
    </row>
    <row r="20" spans="2:6" ht="15" customHeight="1" x14ac:dyDescent="0.3">
      <c r="B20" s="2" t="s">
        <v>16</v>
      </c>
      <c r="C20" s="2"/>
      <c r="D20" s="2"/>
      <c r="E20" s="2"/>
    </row>
    <row r="21" spans="2:6" ht="15" customHeight="1" x14ac:dyDescent="0.3">
      <c r="B21" s="2" t="s">
        <v>17</v>
      </c>
      <c r="C21" s="2"/>
      <c r="D21" s="2"/>
      <c r="E21" s="2"/>
    </row>
    <row r="22" spans="2:6" ht="15" customHeight="1" x14ac:dyDescent="0.3">
      <c r="B22" s="2" t="s">
        <v>18</v>
      </c>
      <c r="C22" s="2"/>
      <c r="D22" s="2"/>
      <c r="E22" s="2"/>
    </row>
    <row r="24" spans="2:6" ht="15.6" x14ac:dyDescent="0.3">
      <c r="B24" s="5" t="s">
        <v>19</v>
      </c>
    </row>
    <row r="25" spans="2:6" ht="55.2" x14ac:dyDescent="0.3">
      <c r="B25" s="10" t="s">
        <v>20</v>
      </c>
      <c r="C25" s="10" t="s">
        <v>21</v>
      </c>
      <c r="D25" s="10" t="s">
        <v>22</v>
      </c>
      <c r="E25" s="10" t="s">
        <v>23</v>
      </c>
      <c r="F25" s="10" t="s">
        <v>24</v>
      </c>
    </row>
    <row r="26" spans="2:6" ht="30" customHeight="1" x14ac:dyDescent="0.3">
      <c r="B26" s="11" t="s">
        <v>25</v>
      </c>
      <c r="C26" s="11" t="s">
        <v>26</v>
      </c>
      <c r="D26" s="11" t="s">
        <v>27</v>
      </c>
      <c r="E26" s="11" t="s">
        <v>28</v>
      </c>
      <c r="F26" s="11" t="s">
        <v>29</v>
      </c>
    </row>
    <row r="27" spans="2:6" ht="30" customHeight="1" x14ac:dyDescent="0.3">
      <c r="B27" s="12" t="s">
        <v>30</v>
      </c>
      <c r="C27" s="12" t="s">
        <v>31</v>
      </c>
      <c r="D27" s="12" t="s">
        <v>32</v>
      </c>
      <c r="E27" s="12" t="s">
        <v>33</v>
      </c>
      <c r="F27" s="12" t="s">
        <v>34</v>
      </c>
    </row>
    <row r="28" spans="2:6" ht="30" customHeight="1" x14ac:dyDescent="0.3">
      <c r="B28" s="11" t="s">
        <v>35</v>
      </c>
      <c r="C28" s="11" t="s">
        <v>36</v>
      </c>
      <c r="D28" s="11" t="s">
        <v>37</v>
      </c>
      <c r="E28" s="11" t="s">
        <v>38</v>
      </c>
      <c r="F28" s="11" t="s">
        <v>39</v>
      </c>
    </row>
    <row r="29" spans="2:6" ht="30" customHeight="1" x14ac:dyDescent="0.3">
      <c r="B29" s="12" t="s">
        <v>40</v>
      </c>
      <c r="C29" s="12" t="s">
        <v>41</v>
      </c>
      <c r="D29" s="12" t="s">
        <v>42</v>
      </c>
      <c r="E29" s="12" t="s">
        <v>43</v>
      </c>
      <c r="F29" s="12" t="s">
        <v>44</v>
      </c>
    </row>
    <row r="30" spans="2:6" ht="30" customHeight="1" x14ac:dyDescent="0.3">
      <c r="B30" s="11" t="s">
        <v>45</v>
      </c>
      <c r="C30" s="11" t="s">
        <v>46</v>
      </c>
      <c r="D30" s="11" t="s">
        <v>47</v>
      </c>
      <c r="E30" s="11" t="s">
        <v>48</v>
      </c>
      <c r="F30" s="11" t="s">
        <v>49</v>
      </c>
    </row>
    <row r="32" spans="2:6" ht="15.6" x14ac:dyDescent="0.3">
      <c r="B32" s="5" t="s">
        <v>50</v>
      </c>
    </row>
    <row r="33" spans="2:6" x14ac:dyDescent="0.3">
      <c r="B33" s="10" t="s">
        <v>51</v>
      </c>
      <c r="C33" s="10" t="s">
        <v>52</v>
      </c>
      <c r="D33" s="10" t="s">
        <v>53</v>
      </c>
      <c r="E33" s="10" t="s">
        <v>54</v>
      </c>
      <c r="F33" s="10" t="s">
        <v>55</v>
      </c>
    </row>
    <row r="34" spans="2:6" x14ac:dyDescent="0.3">
      <c r="B34" s="13" t="s">
        <v>56</v>
      </c>
      <c r="C34" s="13" t="s">
        <v>57</v>
      </c>
      <c r="D34" s="13" t="s">
        <v>58</v>
      </c>
      <c r="E34" s="13" t="s">
        <v>58</v>
      </c>
      <c r="F34" s="13" t="s">
        <v>59</v>
      </c>
    </row>
    <row r="35" spans="2:6" x14ac:dyDescent="0.3">
      <c r="B35" s="14" t="s">
        <v>60</v>
      </c>
      <c r="C35" s="14" t="s">
        <v>61</v>
      </c>
      <c r="D35" s="14" t="s">
        <v>57</v>
      </c>
      <c r="E35" s="14" t="s">
        <v>57</v>
      </c>
      <c r="F35" s="14" t="s">
        <v>62</v>
      </c>
    </row>
    <row r="36" spans="2:6" x14ac:dyDescent="0.3">
      <c r="B36" s="13" t="s">
        <v>63</v>
      </c>
      <c r="C36" s="13" t="s">
        <v>58</v>
      </c>
      <c r="D36" s="13" t="s">
        <v>58</v>
      </c>
      <c r="E36" s="13" t="s">
        <v>58</v>
      </c>
      <c r="F36" s="13" t="s">
        <v>64</v>
      </c>
    </row>
  </sheetData>
  <mergeCells count="11">
    <mergeCell ref="B22:E22"/>
    <mergeCell ref="B17:E17"/>
    <mergeCell ref="B18:E18"/>
    <mergeCell ref="B19:E19"/>
    <mergeCell ref="B20:E20"/>
    <mergeCell ref="B21:E21"/>
    <mergeCell ref="B12:E12"/>
    <mergeCell ref="B13:E13"/>
    <mergeCell ref="B14:E14"/>
    <mergeCell ref="B15:E15"/>
    <mergeCell ref="B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2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30" customWidth="1"/>
    <col min="3" max="6" width="16" customWidth="1"/>
  </cols>
  <sheetData>
    <row r="2" spans="2:4" ht="21" x14ac:dyDescent="0.4">
      <c r="B2" s="3" t="s">
        <v>65</v>
      </c>
    </row>
    <row r="4" spans="2:4" ht="15.6" x14ac:dyDescent="0.3">
      <c r="B4" s="5" t="s">
        <v>66</v>
      </c>
    </row>
    <row r="5" spans="2:4" x14ac:dyDescent="0.3">
      <c r="B5" s="6" t="s">
        <v>67</v>
      </c>
      <c r="C5" s="8">
        <f>COUNTIF('Daily Tracker'!R4:R38,1)</f>
        <v>0</v>
      </c>
      <c r="D5" t="str">
        <f>CONCATENATE(C5," / ",'Daily Tracker'!B1)</f>
        <v>0 / 35</v>
      </c>
    </row>
    <row r="6" spans="2:4" x14ac:dyDescent="0.3">
      <c r="B6" s="6" t="s">
        <v>68</v>
      </c>
      <c r="C6" s="15">
        <f>AVERAGE('Daily Tracker'!R4:R38)</f>
        <v>0</v>
      </c>
    </row>
    <row r="7" spans="2:4" x14ac:dyDescent="0.3">
      <c r="B7" s="6" t="s">
        <v>69</v>
      </c>
      <c r="C7" s="8">
        <f>SUM('Daily Tracker'!P4:P38)</f>
        <v>127.5</v>
      </c>
    </row>
    <row r="8" spans="2:4" x14ac:dyDescent="0.3">
      <c r="B8" s="6" t="s">
        <v>70</v>
      </c>
      <c r="C8" s="8">
        <f>SUM('Daily Tracker'!Q4:Q38)</f>
        <v>0</v>
      </c>
    </row>
    <row r="9" spans="2:4" x14ac:dyDescent="0.3">
      <c r="B9" s="6" t="s">
        <v>71</v>
      </c>
      <c r="C9" s="8" t="str">
        <f>CONCATENATE('DSA Checklist'!D20," / ",'DSA Checklist'!C20)</f>
        <v>0 / 171</v>
      </c>
    </row>
    <row r="10" spans="2:4" x14ac:dyDescent="0.3">
      <c r="B10" s="6" t="s">
        <v>72</v>
      </c>
      <c r="C10" s="8" t="str">
        <f>COUNTIF('AI Checklist'!C3:C15,"Done")&amp;" / "&amp;13</f>
        <v>0 / 13</v>
      </c>
    </row>
    <row r="11" spans="2:4" x14ac:dyDescent="0.3">
      <c r="B11" s="6" t="s">
        <v>73</v>
      </c>
      <c r="C11" s="8" t="str">
        <f>COUNTIF('DE Checklist'!C3:C16,"Done")&amp;" / "&amp;14</f>
        <v>0 / 14</v>
      </c>
    </row>
    <row r="13" spans="2:4" ht="15.6" x14ac:dyDescent="0.3">
      <c r="B13" s="5" t="s">
        <v>74</v>
      </c>
    </row>
    <row r="14" spans="2:4" x14ac:dyDescent="0.3">
      <c r="B14" s="10" t="s">
        <v>20</v>
      </c>
      <c r="C14" s="10" t="s">
        <v>75</v>
      </c>
      <c r="D14" s="10" t="s">
        <v>76</v>
      </c>
    </row>
    <row r="15" spans="2:4" x14ac:dyDescent="0.3">
      <c r="B15" s="16" t="s">
        <v>25</v>
      </c>
      <c r="C15" s="16">
        <f>SUMIF('Daily Tracker'!C4:C38,1,'Daily Tracker'!P4:P38)</f>
        <v>25.5</v>
      </c>
      <c r="D15" s="16">
        <f>SUMIF('Daily Tracker'!C4:C38,1,'Daily Tracker'!Q4:Q38)</f>
        <v>0</v>
      </c>
    </row>
    <row r="16" spans="2:4" x14ac:dyDescent="0.3">
      <c r="B16" s="16" t="s">
        <v>30</v>
      </c>
      <c r="C16" s="16">
        <f>SUMIF('Daily Tracker'!C4:C38,2,'Daily Tracker'!P4:P38)</f>
        <v>25.5</v>
      </c>
      <c r="D16" s="16">
        <f>SUMIF('Daily Tracker'!C4:C38,2,'Daily Tracker'!Q4:Q38)</f>
        <v>0</v>
      </c>
    </row>
    <row r="17" spans="2:5" x14ac:dyDescent="0.3">
      <c r="B17" s="16" t="s">
        <v>35</v>
      </c>
      <c r="C17" s="16">
        <f>SUMIF('Daily Tracker'!C4:C38,3,'Daily Tracker'!P4:P38)</f>
        <v>25.5</v>
      </c>
      <c r="D17" s="16">
        <f>SUMIF('Daily Tracker'!C4:C38,3,'Daily Tracker'!Q4:Q38)</f>
        <v>0</v>
      </c>
    </row>
    <row r="18" spans="2:5" x14ac:dyDescent="0.3">
      <c r="B18" s="16" t="s">
        <v>40</v>
      </c>
      <c r="C18" s="16">
        <f>SUMIF('Daily Tracker'!C4:C38,4,'Daily Tracker'!P4:P38)</f>
        <v>25.5</v>
      </c>
      <c r="D18" s="16">
        <f>SUMIF('Daily Tracker'!C4:C38,4,'Daily Tracker'!Q4:Q38)</f>
        <v>0</v>
      </c>
    </row>
    <row r="19" spans="2:5" x14ac:dyDescent="0.3">
      <c r="B19" s="16" t="s">
        <v>45</v>
      </c>
      <c r="C19" s="16">
        <f>SUMIF('Daily Tracker'!C4:C38,5,'Daily Tracker'!P4:P38)</f>
        <v>25.5</v>
      </c>
      <c r="D19" s="16">
        <f>SUMIF('Daily Tracker'!C4:C38,5,'Daily Tracker'!Q4:Q38)</f>
        <v>0</v>
      </c>
    </row>
    <row r="21" spans="2:5" x14ac:dyDescent="0.3">
      <c r="B21" s="1" t="s">
        <v>77</v>
      </c>
      <c r="C21" s="1"/>
      <c r="D21" s="1"/>
      <c r="E21" s="1"/>
    </row>
  </sheetData>
  <mergeCells count="1">
    <mergeCell ref="B21:E2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showGridLines="0" tabSelected="1" zoomScaleNormal="100" workbookViewId="0">
      <pane xSplit="3" ySplit="3" topLeftCell="K4" activePane="bottomRight" state="frozen"/>
      <selection pane="topRight" activeCell="D1" sqref="D1"/>
      <selection pane="bottomLeft" activeCell="A4" sqref="A4"/>
      <selection pane="bottomRight" activeCell="N4" sqref="N4"/>
    </sheetView>
  </sheetViews>
  <sheetFormatPr defaultColWidth="8.6640625" defaultRowHeight="14.4" x14ac:dyDescent="0.3"/>
  <cols>
    <col min="1" max="1" width="11" customWidth="1"/>
    <col min="2" max="3" width="6" customWidth="1"/>
    <col min="4" max="4" width="30" customWidth="1"/>
    <col min="5" max="6" width="8" customWidth="1"/>
    <col min="7" max="7" width="12" customWidth="1"/>
    <col min="8" max="8" width="30" customWidth="1"/>
    <col min="9" max="10" width="8" customWidth="1"/>
    <col min="11" max="11" width="12" customWidth="1"/>
    <col min="12" max="12" width="34" customWidth="1"/>
    <col min="13" max="14" width="8" customWidth="1"/>
    <col min="15" max="15" width="12" customWidth="1"/>
    <col min="16" max="18" width="9" customWidth="1"/>
    <col min="19" max="19" width="26" customWidth="1"/>
  </cols>
  <sheetData>
    <row r="1" spans="1:19" x14ac:dyDescent="0.3">
      <c r="A1" s="17" t="s">
        <v>78</v>
      </c>
      <c r="B1">
        <v>35</v>
      </c>
    </row>
    <row r="3" spans="1:19" ht="31.5" customHeight="1" x14ac:dyDescent="0.3">
      <c r="A3" s="10" t="s">
        <v>79</v>
      </c>
      <c r="B3" s="10" t="s">
        <v>80</v>
      </c>
      <c r="C3" s="10" t="s">
        <v>20</v>
      </c>
      <c r="D3" s="10" t="s">
        <v>81</v>
      </c>
      <c r="E3" s="10" t="s">
        <v>82</v>
      </c>
      <c r="F3" s="10" t="s">
        <v>83</v>
      </c>
      <c r="G3" s="10" t="s">
        <v>84</v>
      </c>
      <c r="H3" s="10" t="s">
        <v>85</v>
      </c>
      <c r="I3" s="10" t="s">
        <v>86</v>
      </c>
      <c r="J3" s="10" t="s">
        <v>87</v>
      </c>
      <c r="K3" s="10" t="s">
        <v>88</v>
      </c>
      <c r="L3" s="10" t="s">
        <v>89</v>
      </c>
      <c r="M3" s="10" t="s">
        <v>90</v>
      </c>
      <c r="N3" s="10" t="s">
        <v>91</v>
      </c>
      <c r="O3" s="10" t="s">
        <v>92</v>
      </c>
      <c r="P3" s="10" t="s">
        <v>93</v>
      </c>
      <c r="Q3" s="10" t="s">
        <v>94</v>
      </c>
      <c r="R3" s="10" t="s">
        <v>95</v>
      </c>
      <c r="S3" s="10" t="s">
        <v>96</v>
      </c>
    </row>
    <row r="4" spans="1:19" ht="26.4" x14ac:dyDescent="0.3">
      <c r="A4" s="18">
        <v>46211</v>
      </c>
      <c r="B4" s="16" t="str">
        <f t="shared" ref="B4:B38" si="0">TEXT(A4,"ddd")</f>
        <v>Wed</v>
      </c>
      <c r="C4" s="16">
        <v>1</v>
      </c>
      <c r="D4" s="19" t="s">
        <v>97</v>
      </c>
      <c r="E4" s="16">
        <v>1.5</v>
      </c>
      <c r="F4" s="16"/>
      <c r="G4" s="16" t="s">
        <v>98</v>
      </c>
      <c r="H4" s="19" t="s">
        <v>99</v>
      </c>
      <c r="I4" s="16">
        <v>1</v>
      </c>
      <c r="J4" s="16"/>
      <c r="K4" s="16" t="s">
        <v>98</v>
      </c>
      <c r="L4" s="19" t="s">
        <v>100</v>
      </c>
      <c r="M4" s="16">
        <v>1</v>
      </c>
      <c r="N4" s="16"/>
      <c r="O4" s="16" t="s">
        <v>98</v>
      </c>
      <c r="P4" s="20">
        <f t="shared" ref="P4:P38" si="1">E4+I4+M4</f>
        <v>3.5</v>
      </c>
      <c r="Q4" s="20">
        <f t="shared" ref="Q4:Q38" si="2">F4+J4+N4</f>
        <v>0</v>
      </c>
      <c r="R4" s="21">
        <f t="shared" ref="R4:R38" si="3">(COUNTIF(G4,"Done")+COUNTIF(K4,"Done")+COUNTIF(O4,"Done"))/3</f>
        <v>0</v>
      </c>
      <c r="S4" s="19"/>
    </row>
    <row r="5" spans="1:19" ht="26.4" x14ac:dyDescent="0.3">
      <c r="A5" s="18">
        <v>46212</v>
      </c>
      <c r="B5" s="16" t="str">
        <f t="shared" si="0"/>
        <v>Thu</v>
      </c>
      <c r="C5" s="16">
        <v>1</v>
      </c>
      <c r="D5" s="19" t="s">
        <v>101</v>
      </c>
      <c r="E5" s="16">
        <v>1.5</v>
      </c>
      <c r="F5" s="16"/>
      <c r="G5" s="16" t="s">
        <v>98</v>
      </c>
      <c r="H5" s="19" t="s">
        <v>102</v>
      </c>
      <c r="I5" s="16">
        <v>1</v>
      </c>
      <c r="J5" s="16"/>
      <c r="K5" s="16" t="s">
        <v>98</v>
      </c>
      <c r="L5" s="19" t="s">
        <v>103</v>
      </c>
      <c r="M5" s="16">
        <v>1</v>
      </c>
      <c r="N5" s="16"/>
      <c r="O5" s="16" t="s">
        <v>98</v>
      </c>
      <c r="P5" s="20">
        <f t="shared" si="1"/>
        <v>3.5</v>
      </c>
      <c r="Q5" s="20">
        <f t="shared" si="2"/>
        <v>0</v>
      </c>
      <c r="R5" s="21">
        <f t="shared" si="3"/>
        <v>0</v>
      </c>
      <c r="S5" s="19"/>
    </row>
    <row r="6" spans="1:19" ht="26.4" x14ac:dyDescent="0.3">
      <c r="A6" s="18">
        <v>46213</v>
      </c>
      <c r="B6" s="16" t="str">
        <f t="shared" si="0"/>
        <v>Fri</v>
      </c>
      <c r="C6" s="16">
        <v>1</v>
      </c>
      <c r="D6" s="19" t="s">
        <v>104</v>
      </c>
      <c r="E6" s="16">
        <v>1.5</v>
      </c>
      <c r="F6" s="16"/>
      <c r="G6" s="16" t="s">
        <v>98</v>
      </c>
      <c r="H6" s="19" t="s">
        <v>105</v>
      </c>
      <c r="I6" s="16">
        <v>1</v>
      </c>
      <c r="J6" s="16"/>
      <c r="K6" s="16" t="s">
        <v>98</v>
      </c>
      <c r="L6" s="19" t="s">
        <v>106</v>
      </c>
      <c r="M6" s="16">
        <v>1</v>
      </c>
      <c r="N6" s="16"/>
      <c r="O6" s="16" t="s">
        <v>98</v>
      </c>
      <c r="P6" s="20">
        <f t="shared" si="1"/>
        <v>3.5</v>
      </c>
      <c r="Q6" s="20">
        <f t="shared" si="2"/>
        <v>0</v>
      </c>
      <c r="R6" s="21">
        <f t="shared" si="3"/>
        <v>0</v>
      </c>
      <c r="S6" s="19"/>
    </row>
    <row r="7" spans="1:19" ht="26.4" x14ac:dyDescent="0.3">
      <c r="A7" s="18">
        <v>46214</v>
      </c>
      <c r="B7" s="16" t="str">
        <f t="shared" si="0"/>
        <v>Sat</v>
      </c>
      <c r="C7" s="16">
        <v>1</v>
      </c>
      <c r="D7" s="19" t="s">
        <v>107</v>
      </c>
      <c r="E7" s="16">
        <v>1.5</v>
      </c>
      <c r="F7" s="16"/>
      <c r="G7" s="16" t="s">
        <v>98</v>
      </c>
      <c r="H7" s="19" t="s">
        <v>108</v>
      </c>
      <c r="I7" s="16">
        <v>1</v>
      </c>
      <c r="J7" s="16"/>
      <c r="K7" s="16" t="s">
        <v>98</v>
      </c>
      <c r="L7" s="19" t="s">
        <v>109</v>
      </c>
      <c r="M7" s="16">
        <v>1</v>
      </c>
      <c r="N7" s="16"/>
      <c r="O7" s="16" t="s">
        <v>98</v>
      </c>
      <c r="P7" s="20">
        <f t="shared" si="1"/>
        <v>3.5</v>
      </c>
      <c r="Q7" s="20">
        <f t="shared" si="2"/>
        <v>0</v>
      </c>
      <c r="R7" s="21">
        <f t="shared" si="3"/>
        <v>0</v>
      </c>
      <c r="S7" s="19"/>
    </row>
    <row r="8" spans="1:19" ht="26.4" x14ac:dyDescent="0.3">
      <c r="A8" s="18">
        <v>46215</v>
      </c>
      <c r="B8" s="16" t="str">
        <f t="shared" si="0"/>
        <v>Sun</v>
      </c>
      <c r="C8" s="16">
        <v>1</v>
      </c>
      <c r="D8" s="19" t="s">
        <v>110</v>
      </c>
      <c r="E8" s="16">
        <v>1.5</v>
      </c>
      <c r="F8" s="16"/>
      <c r="G8" s="16" t="s">
        <v>98</v>
      </c>
      <c r="H8" s="19" t="s">
        <v>111</v>
      </c>
      <c r="I8" s="16">
        <v>1</v>
      </c>
      <c r="J8" s="16"/>
      <c r="K8" s="16" t="s">
        <v>98</v>
      </c>
      <c r="L8" s="19" t="s">
        <v>112</v>
      </c>
      <c r="M8" s="16">
        <v>1</v>
      </c>
      <c r="N8" s="16"/>
      <c r="O8" s="16" t="s">
        <v>98</v>
      </c>
      <c r="P8" s="20">
        <f t="shared" si="1"/>
        <v>3.5</v>
      </c>
      <c r="Q8" s="20">
        <f t="shared" si="2"/>
        <v>0</v>
      </c>
      <c r="R8" s="21">
        <f t="shared" si="3"/>
        <v>0</v>
      </c>
      <c r="S8" s="19"/>
    </row>
    <row r="9" spans="1:19" ht="26.4" x14ac:dyDescent="0.3">
      <c r="A9" s="18">
        <v>46216</v>
      </c>
      <c r="B9" s="16" t="str">
        <f t="shared" si="0"/>
        <v>Mon</v>
      </c>
      <c r="C9" s="16">
        <v>1</v>
      </c>
      <c r="D9" s="19" t="s">
        <v>113</v>
      </c>
      <c r="E9" s="16">
        <v>2</v>
      </c>
      <c r="F9" s="16"/>
      <c r="G9" s="16" t="s">
        <v>98</v>
      </c>
      <c r="H9" s="19" t="s">
        <v>114</v>
      </c>
      <c r="I9" s="16">
        <v>1.5</v>
      </c>
      <c r="J9" s="16"/>
      <c r="K9" s="16" t="s">
        <v>98</v>
      </c>
      <c r="L9" s="19" t="s">
        <v>115</v>
      </c>
      <c r="M9" s="16">
        <v>1.5</v>
      </c>
      <c r="N9" s="16"/>
      <c r="O9" s="16" t="s">
        <v>98</v>
      </c>
      <c r="P9" s="20">
        <f t="shared" si="1"/>
        <v>5</v>
      </c>
      <c r="Q9" s="20">
        <f t="shared" si="2"/>
        <v>0</v>
      </c>
      <c r="R9" s="21">
        <f t="shared" si="3"/>
        <v>0</v>
      </c>
      <c r="S9" s="19"/>
    </row>
    <row r="10" spans="1:19" ht="26.4" x14ac:dyDescent="0.3">
      <c r="A10" s="18">
        <v>46217</v>
      </c>
      <c r="B10" s="16" t="str">
        <f t="shared" si="0"/>
        <v>Tue</v>
      </c>
      <c r="C10" s="16">
        <v>1</v>
      </c>
      <c r="D10" s="19" t="s">
        <v>116</v>
      </c>
      <c r="E10" s="16">
        <v>1</v>
      </c>
      <c r="F10" s="16"/>
      <c r="G10" s="16" t="s">
        <v>98</v>
      </c>
      <c r="H10" s="19" t="s">
        <v>117</v>
      </c>
      <c r="I10" s="16">
        <v>1</v>
      </c>
      <c r="J10" s="16"/>
      <c r="K10" s="16" t="s">
        <v>98</v>
      </c>
      <c r="L10" s="19" t="s">
        <v>118</v>
      </c>
      <c r="M10" s="16">
        <v>1</v>
      </c>
      <c r="N10" s="16"/>
      <c r="O10" s="16" t="s">
        <v>98</v>
      </c>
      <c r="P10" s="20">
        <f t="shared" si="1"/>
        <v>3</v>
      </c>
      <c r="Q10" s="20">
        <f t="shared" si="2"/>
        <v>0</v>
      </c>
      <c r="R10" s="21">
        <f t="shared" si="3"/>
        <v>0</v>
      </c>
      <c r="S10" s="19"/>
    </row>
    <row r="11" spans="1:19" ht="26.4" x14ac:dyDescent="0.3">
      <c r="A11" s="22">
        <v>46218</v>
      </c>
      <c r="B11" s="23" t="str">
        <f t="shared" si="0"/>
        <v>Wed</v>
      </c>
      <c r="C11" s="23">
        <v>2</v>
      </c>
      <c r="D11" s="24" t="s">
        <v>119</v>
      </c>
      <c r="E11" s="23">
        <v>1.5</v>
      </c>
      <c r="F11" s="23"/>
      <c r="G11" s="23" t="s">
        <v>98</v>
      </c>
      <c r="H11" s="24" t="s">
        <v>120</v>
      </c>
      <c r="I11" s="23">
        <v>1</v>
      </c>
      <c r="J11" s="23"/>
      <c r="K11" s="23" t="s">
        <v>98</v>
      </c>
      <c r="L11" s="24" t="s">
        <v>121</v>
      </c>
      <c r="M11" s="23">
        <v>1</v>
      </c>
      <c r="N11" s="23"/>
      <c r="O11" s="23" t="s">
        <v>98</v>
      </c>
      <c r="P11" s="25">
        <f t="shared" si="1"/>
        <v>3.5</v>
      </c>
      <c r="Q11" s="25">
        <f t="shared" si="2"/>
        <v>0</v>
      </c>
      <c r="R11" s="26">
        <f t="shared" si="3"/>
        <v>0</v>
      </c>
      <c r="S11" s="24"/>
    </row>
    <row r="12" spans="1:19" ht="26.4" x14ac:dyDescent="0.3">
      <c r="A12" s="22">
        <v>46219</v>
      </c>
      <c r="B12" s="23" t="str">
        <f t="shared" si="0"/>
        <v>Thu</v>
      </c>
      <c r="C12" s="23">
        <v>2</v>
      </c>
      <c r="D12" s="24" t="s">
        <v>122</v>
      </c>
      <c r="E12" s="23">
        <v>1.5</v>
      </c>
      <c r="F12" s="23"/>
      <c r="G12" s="23" t="s">
        <v>98</v>
      </c>
      <c r="H12" s="24" t="s">
        <v>123</v>
      </c>
      <c r="I12" s="23">
        <v>1</v>
      </c>
      <c r="J12" s="23"/>
      <c r="K12" s="23" t="s">
        <v>98</v>
      </c>
      <c r="L12" s="24" t="s">
        <v>124</v>
      </c>
      <c r="M12" s="23">
        <v>1</v>
      </c>
      <c r="N12" s="23"/>
      <c r="O12" s="23" t="s">
        <v>98</v>
      </c>
      <c r="P12" s="25">
        <f t="shared" si="1"/>
        <v>3.5</v>
      </c>
      <c r="Q12" s="25">
        <f t="shared" si="2"/>
        <v>0</v>
      </c>
      <c r="R12" s="26">
        <f t="shared" si="3"/>
        <v>0</v>
      </c>
      <c r="S12" s="24"/>
    </row>
    <row r="13" spans="1:19" ht="26.4" x14ac:dyDescent="0.3">
      <c r="A13" s="22">
        <v>46220</v>
      </c>
      <c r="B13" s="23" t="str">
        <f t="shared" si="0"/>
        <v>Fri</v>
      </c>
      <c r="C13" s="23">
        <v>2</v>
      </c>
      <c r="D13" s="24" t="s">
        <v>125</v>
      </c>
      <c r="E13" s="23">
        <v>1.5</v>
      </c>
      <c r="F13" s="23"/>
      <c r="G13" s="23" t="s">
        <v>98</v>
      </c>
      <c r="H13" s="24" t="s">
        <v>126</v>
      </c>
      <c r="I13" s="23">
        <v>1</v>
      </c>
      <c r="J13" s="23"/>
      <c r="K13" s="23" t="s">
        <v>98</v>
      </c>
      <c r="L13" s="24" t="s">
        <v>127</v>
      </c>
      <c r="M13" s="23">
        <v>1</v>
      </c>
      <c r="N13" s="23"/>
      <c r="O13" s="23" t="s">
        <v>98</v>
      </c>
      <c r="P13" s="25">
        <f t="shared" si="1"/>
        <v>3.5</v>
      </c>
      <c r="Q13" s="25">
        <f t="shared" si="2"/>
        <v>0</v>
      </c>
      <c r="R13" s="26">
        <f t="shared" si="3"/>
        <v>0</v>
      </c>
      <c r="S13" s="24"/>
    </row>
    <row r="14" spans="1:19" ht="26.4" x14ac:dyDescent="0.3">
      <c r="A14" s="22">
        <v>46221</v>
      </c>
      <c r="B14" s="23" t="str">
        <f t="shared" si="0"/>
        <v>Sat</v>
      </c>
      <c r="C14" s="23">
        <v>2</v>
      </c>
      <c r="D14" s="24" t="s">
        <v>128</v>
      </c>
      <c r="E14" s="23">
        <v>1.5</v>
      </c>
      <c r="F14" s="23"/>
      <c r="G14" s="23" t="s">
        <v>98</v>
      </c>
      <c r="H14" s="24" t="s">
        <v>129</v>
      </c>
      <c r="I14" s="23">
        <v>1</v>
      </c>
      <c r="J14" s="23"/>
      <c r="K14" s="23" t="s">
        <v>98</v>
      </c>
      <c r="L14" s="24" t="s">
        <v>130</v>
      </c>
      <c r="M14" s="23">
        <v>1</v>
      </c>
      <c r="N14" s="23"/>
      <c r="O14" s="23" t="s">
        <v>98</v>
      </c>
      <c r="P14" s="25">
        <f t="shared" si="1"/>
        <v>3.5</v>
      </c>
      <c r="Q14" s="25">
        <f t="shared" si="2"/>
        <v>0</v>
      </c>
      <c r="R14" s="26">
        <f t="shared" si="3"/>
        <v>0</v>
      </c>
      <c r="S14" s="24"/>
    </row>
    <row r="15" spans="1:19" ht="26.4" x14ac:dyDescent="0.3">
      <c r="A15" s="22">
        <v>46222</v>
      </c>
      <c r="B15" s="23" t="str">
        <f t="shared" si="0"/>
        <v>Sun</v>
      </c>
      <c r="C15" s="23">
        <v>2</v>
      </c>
      <c r="D15" s="24" t="s">
        <v>131</v>
      </c>
      <c r="E15" s="23">
        <v>1.5</v>
      </c>
      <c r="F15" s="23"/>
      <c r="G15" s="23" t="s">
        <v>98</v>
      </c>
      <c r="H15" s="24" t="s">
        <v>132</v>
      </c>
      <c r="I15" s="23">
        <v>1</v>
      </c>
      <c r="J15" s="23"/>
      <c r="K15" s="23" t="s">
        <v>98</v>
      </c>
      <c r="L15" s="24" t="s">
        <v>133</v>
      </c>
      <c r="M15" s="23">
        <v>1</v>
      </c>
      <c r="N15" s="23"/>
      <c r="O15" s="23" t="s">
        <v>98</v>
      </c>
      <c r="P15" s="25">
        <f t="shared" si="1"/>
        <v>3.5</v>
      </c>
      <c r="Q15" s="25">
        <f t="shared" si="2"/>
        <v>0</v>
      </c>
      <c r="R15" s="26">
        <f t="shared" si="3"/>
        <v>0</v>
      </c>
      <c r="S15" s="24"/>
    </row>
    <row r="16" spans="1:19" ht="26.4" x14ac:dyDescent="0.3">
      <c r="A16" s="22">
        <v>46223</v>
      </c>
      <c r="B16" s="23" t="str">
        <f t="shared" si="0"/>
        <v>Mon</v>
      </c>
      <c r="C16" s="23">
        <v>2</v>
      </c>
      <c r="D16" s="24" t="s">
        <v>134</v>
      </c>
      <c r="E16" s="23">
        <v>2</v>
      </c>
      <c r="F16" s="23"/>
      <c r="G16" s="23" t="s">
        <v>98</v>
      </c>
      <c r="H16" s="24" t="s">
        <v>135</v>
      </c>
      <c r="I16" s="23">
        <v>1.5</v>
      </c>
      <c r="J16" s="23"/>
      <c r="K16" s="23" t="s">
        <v>98</v>
      </c>
      <c r="L16" s="24" t="s">
        <v>136</v>
      </c>
      <c r="M16" s="23">
        <v>1.5</v>
      </c>
      <c r="N16" s="23"/>
      <c r="O16" s="23" t="s">
        <v>98</v>
      </c>
      <c r="P16" s="25">
        <f t="shared" si="1"/>
        <v>5</v>
      </c>
      <c r="Q16" s="25">
        <f t="shared" si="2"/>
        <v>0</v>
      </c>
      <c r="R16" s="26">
        <f t="shared" si="3"/>
        <v>0</v>
      </c>
      <c r="S16" s="24"/>
    </row>
    <row r="17" spans="1:19" ht="26.4" x14ac:dyDescent="0.3">
      <c r="A17" s="22">
        <v>46224</v>
      </c>
      <c r="B17" s="23" t="str">
        <f t="shared" si="0"/>
        <v>Tue</v>
      </c>
      <c r="C17" s="23">
        <v>2</v>
      </c>
      <c r="D17" s="24" t="s">
        <v>137</v>
      </c>
      <c r="E17" s="23">
        <v>1</v>
      </c>
      <c r="F17" s="23"/>
      <c r="G17" s="23" t="s">
        <v>98</v>
      </c>
      <c r="H17" s="24" t="s">
        <v>138</v>
      </c>
      <c r="I17" s="23">
        <v>1</v>
      </c>
      <c r="J17" s="23"/>
      <c r="K17" s="23" t="s">
        <v>98</v>
      </c>
      <c r="L17" s="24" t="s">
        <v>139</v>
      </c>
      <c r="M17" s="23">
        <v>1</v>
      </c>
      <c r="N17" s="23"/>
      <c r="O17" s="23" t="s">
        <v>98</v>
      </c>
      <c r="P17" s="25">
        <f t="shared" si="1"/>
        <v>3</v>
      </c>
      <c r="Q17" s="25">
        <f t="shared" si="2"/>
        <v>0</v>
      </c>
      <c r="R17" s="26">
        <f t="shared" si="3"/>
        <v>0</v>
      </c>
      <c r="S17" s="24"/>
    </row>
    <row r="18" spans="1:19" ht="26.4" x14ac:dyDescent="0.3">
      <c r="A18" s="18">
        <v>46225</v>
      </c>
      <c r="B18" s="16" t="str">
        <f t="shared" si="0"/>
        <v>Wed</v>
      </c>
      <c r="C18" s="16">
        <v>3</v>
      </c>
      <c r="D18" s="19" t="s">
        <v>140</v>
      </c>
      <c r="E18" s="16">
        <v>1.5</v>
      </c>
      <c r="F18" s="16"/>
      <c r="G18" s="16" t="s">
        <v>98</v>
      </c>
      <c r="H18" s="19" t="s">
        <v>141</v>
      </c>
      <c r="I18" s="16">
        <v>1</v>
      </c>
      <c r="J18" s="16"/>
      <c r="K18" s="16" t="s">
        <v>98</v>
      </c>
      <c r="L18" s="19" t="s">
        <v>142</v>
      </c>
      <c r="M18" s="16">
        <v>1</v>
      </c>
      <c r="N18" s="16"/>
      <c r="O18" s="16" t="s">
        <v>98</v>
      </c>
      <c r="P18" s="20">
        <f t="shared" si="1"/>
        <v>3.5</v>
      </c>
      <c r="Q18" s="20">
        <f t="shared" si="2"/>
        <v>0</v>
      </c>
      <c r="R18" s="21">
        <f t="shared" si="3"/>
        <v>0</v>
      </c>
      <c r="S18" s="19"/>
    </row>
    <row r="19" spans="1:19" ht="26.4" x14ac:dyDescent="0.3">
      <c r="A19" s="18">
        <v>46226</v>
      </c>
      <c r="B19" s="16" t="str">
        <f t="shared" si="0"/>
        <v>Thu</v>
      </c>
      <c r="C19" s="16">
        <v>3</v>
      </c>
      <c r="D19" s="19" t="s">
        <v>143</v>
      </c>
      <c r="E19" s="16">
        <v>1.5</v>
      </c>
      <c r="F19" s="16"/>
      <c r="G19" s="16" t="s">
        <v>98</v>
      </c>
      <c r="H19" s="19" t="s">
        <v>144</v>
      </c>
      <c r="I19" s="16">
        <v>1</v>
      </c>
      <c r="J19" s="16"/>
      <c r="K19" s="16" t="s">
        <v>98</v>
      </c>
      <c r="L19" s="19" t="s">
        <v>145</v>
      </c>
      <c r="M19" s="16">
        <v>1</v>
      </c>
      <c r="N19" s="16"/>
      <c r="O19" s="16" t="s">
        <v>98</v>
      </c>
      <c r="P19" s="20">
        <f t="shared" si="1"/>
        <v>3.5</v>
      </c>
      <c r="Q19" s="20">
        <f t="shared" si="2"/>
        <v>0</v>
      </c>
      <c r="R19" s="21">
        <f t="shared" si="3"/>
        <v>0</v>
      </c>
      <c r="S19" s="19"/>
    </row>
    <row r="20" spans="1:19" ht="26.4" x14ac:dyDescent="0.3">
      <c r="A20" s="18">
        <v>46227</v>
      </c>
      <c r="B20" s="16" t="str">
        <f t="shared" si="0"/>
        <v>Fri</v>
      </c>
      <c r="C20" s="16">
        <v>3</v>
      </c>
      <c r="D20" s="19" t="s">
        <v>146</v>
      </c>
      <c r="E20" s="16">
        <v>1.5</v>
      </c>
      <c r="F20" s="16"/>
      <c r="G20" s="16" t="s">
        <v>98</v>
      </c>
      <c r="H20" s="19" t="s">
        <v>147</v>
      </c>
      <c r="I20" s="16">
        <v>1</v>
      </c>
      <c r="J20" s="16"/>
      <c r="K20" s="16" t="s">
        <v>98</v>
      </c>
      <c r="L20" s="19" t="s">
        <v>148</v>
      </c>
      <c r="M20" s="16">
        <v>1</v>
      </c>
      <c r="N20" s="16"/>
      <c r="O20" s="16" t="s">
        <v>98</v>
      </c>
      <c r="P20" s="20">
        <f t="shared" si="1"/>
        <v>3.5</v>
      </c>
      <c r="Q20" s="20">
        <f t="shared" si="2"/>
        <v>0</v>
      </c>
      <c r="R20" s="21">
        <f t="shared" si="3"/>
        <v>0</v>
      </c>
      <c r="S20" s="19"/>
    </row>
    <row r="21" spans="1:19" ht="26.4" x14ac:dyDescent="0.3">
      <c r="A21" s="18">
        <v>46228</v>
      </c>
      <c r="B21" s="16" t="str">
        <f t="shared" si="0"/>
        <v>Sat</v>
      </c>
      <c r="C21" s="16">
        <v>3</v>
      </c>
      <c r="D21" s="19" t="s">
        <v>149</v>
      </c>
      <c r="E21" s="16">
        <v>1.5</v>
      </c>
      <c r="F21" s="16"/>
      <c r="G21" s="16" t="s">
        <v>98</v>
      </c>
      <c r="H21" s="19" t="s">
        <v>150</v>
      </c>
      <c r="I21" s="16">
        <v>1</v>
      </c>
      <c r="J21" s="16"/>
      <c r="K21" s="16" t="s">
        <v>98</v>
      </c>
      <c r="L21" s="19" t="s">
        <v>151</v>
      </c>
      <c r="M21" s="16">
        <v>1</v>
      </c>
      <c r="N21" s="16"/>
      <c r="O21" s="16" t="s">
        <v>98</v>
      </c>
      <c r="P21" s="20">
        <f t="shared" si="1"/>
        <v>3.5</v>
      </c>
      <c r="Q21" s="20">
        <f t="shared" si="2"/>
        <v>0</v>
      </c>
      <c r="R21" s="21">
        <f t="shared" si="3"/>
        <v>0</v>
      </c>
      <c r="S21" s="19"/>
    </row>
    <row r="22" spans="1:19" ht="26.4" x14ac:dyDescent="0.3">
      <c r="A22" s="18">
        <v>46229</v>
      </c>
      <c r="B22" s="16" t="str">
        <f t="shared" si="0"/>
        <v>Sun</v>
      </c>
      <c r="C22" s="16">
        <v>3</v>
      </c>
      <c r="D22" s="19" t="s">
        <v>152</v>
      </c>
      <c r="E22" s="16">
        <v>1.5</v>
      </c>
      <c r="F22" s="16"/>
      <c r="G22" s="16" t="s">
        <v>98</v>
      </c>
      <c r="H22" s="19" t="s">
        <v>153</v>
      </c>
      <c r="I22" s="16">
        <v>1</v>
      </c>
      <c r="J22" s="16"/>
      <c r="K22" s="16" t="s">
        <v>98</v>
      </c>
      <c r="L22" s="19" t="s">
        <v>154</v>
      </c>
      <c r="M22" s="16">
        <v>1</v>
      </c>
      <c r="N22" s="16"/>
      <c r="O22" s="16" t="s">
        <v>98</v>
      </c>
      <c r="P22" s="20">
        <f t="shared" si="1"/>
        <v>3.5</v>
      </c>
      <c r="Q22" s="20">
        <f t="shared" si="2"/>
        <v>0</v>
      </c>
      <c r="R22" s="21">
        <f t="shared" si="3"/>
        <v>0</v>
      </c>
      <c r="S22" s="19"/>
    </row>
    <row r="23" spans="1:19" ht="26.4" x14ac:dyDescent="0.3">
      <c r="A23" s="18">
        <v>46230</v>
      </c>
      <c r="B23" s="16" t="str">
        <f t="shared" si="0"/>
        <v>Mon</v>
      </c>
      <c r="C23" s="16">
        <v>3</v>
      </c>
      <c r="D23" s="19" t="s">
        <v>155</v>
      </c>
      <c r="E23" s="16">
        <v>2</v>
      </c>
      <c r="F23" s="16"/>
      <c r="G23" s="16" t="s">
        <v>98</v>
      </c>
      <c r="H23" s="19" t="s">
        <v>156</v>
      </c>
      <c r="I23" s="16">
        <v>1.5</v>
      </c>
      <c r="J23" s="16"/>
      <c r="K23" s="16" t="s">
        <v>98</v>
      </c>
      <c r="L23" s="19" t="s">
        <v>157</v>
      </c>
      <c r="M23" s="16">
        <v>1.5</v>
      </c>
      <c r="N23" s="16"/>
      <c r="O23" s="16" t="s">
        <v>98</v>
      </c>
      <c r="P23" s="20">
        <f t="shared" si="1"/>
        <v>5</v>
      </c>
      <c r="Q23" s="20">
        <f t="shared" si="2"/>
        <v>0</v>
      </c>
      <c r="R23" s="21">
        <f t="shared" si="3"/>
        <v>0</v>
      </c>
      <c r="S23" s="19"/>
    </row>
    <row r="24" spans="1:19" ht="26.4" x14ac:dyDescent="0.3">
      <c r="A24" s="18">
        <v>46231</v>
      </c>
      <c r="B24" s="16" t="str">
        <f t="shared" si="0"/>
        <v>Tue</v>
      </c>
      <c r="C24" s="16">
        <v>3</v>
      </c>
      <c r="D24" s="19" t="s">
        <v>158</v>
      </c>
      <c r="E24" s="16">
        <v>1</v>
      </c>
      <c r="F24" s="16"/>
      <c r="G24" s="16" t="s">
        <v>98</v>
      </c>
      <c r="H24" s="19" t="s">
        <v>159</v>
      </c>
      <c r="I24" s="16">
        <v>1</v>
      </c>
      <c r="J24" s="16"/>
      <c r="K24" s="16" t="s">
        <v>98</v>
      </c>
      <c r="L24" s="19" t="s">
        <v>160</v>
      </c>
      <c r="M24" s="16">
        <v>1</v>
      </c>
      <c r="N24" s="16"/>
      <c r="O24" s="16" t="s">
        <v>98</v>
      </c>
      <c r="P24" s="20">
        <f t="shared" si="1"/>
        <v>3</v>
      </c>
      <c r="Q24" s="20">
        <f t="shared" si="2"/>
        <v>0</v>
      </c>
      <c r="R24" s="21">
        <f t="shared" si="3"/>
        <v>0</v>
      </c>
      <c r="S24" s="19"/>
    </row>
    <row r="25" spans="1:19" ht="26.4" x14ac:dyDescent="0.3">
      <c r="A25" s="22">
        <v>46232</v>
      </c>
      <c r="B25" s="23" t="str">
        <f t="shared" si="0"/>
        <v>Wed</v>
      </c>
      <c r="C25" s="23">
        <v>4</v>
      </c>
      <c r="D25" s="24" t="s">
        <v>161</v>
      </c>
      <c r="E25" s="23">
        <v>1.5</v>
      </c>
      <c r="F25" s="23"/>
      <c r="G25" s="23" t="s">
        <v>98</v>
      </c>
      <c r="H25" s="24" t="s">
        <v>162</v>
      </c>
      <c r="I25" s="23">
        <v>1</v>
      </c>
      <c r="J25" s="23"/>
      <c r="K25" s="23" t="s">
        <v>98</v>
      </c>
      <c r="L25" s="24" t="s">
        <v>163</v>
      </c>
      <c r="M25" s="23">
        <v>1</v>
      </c>
      <c r="N25" s="23"/>
      <c r="O25" s="23" t="s">
        <v>98</v>
      </c>
      <c r="P25" s="25">
        <f t="shared" si="1"/>
        <v>3.5</v>
      </c>
      <c r="Q25" s="25">
        <f t="shared" si="2"/>
        <v>0</v>
      </c>
      <c r="R25" s="26">
        <f t="shared" si="3"/>
        <v>0</v>
      </c>
      <c r="S25" s="24"/>
    </row>
    <row r="26" spans="1:19" ht="26.4" x14ac:dyDescent="0.3">
      <c r="A26" s="22">
        <v>46233</v>
      </c>
      <c r="B26" s="23" t="str">
        <f t="shared" si="0"/>
        <v>Thu</v>
      </c>
      <c r="C26" s="23">
        <v>4</v>
      </c>
      <c r="D26" s="24" t="s">
        <v>164</v>
      </c>
      <c r="E26" s="23">
        <v>1.5</v>
      </c>
      <c r="F26" s="23"/>
      <c r="G26" s="23" t="s">
        <v>98</v>
      </c>
      <c r="H26" s="24" t="s">
        <v>165</v>
      </c>
      <c r="I26" s="23">
        <v>1</v>
      </c>
      <c r="J26" s="23"/>
      <c r="K26" s="23" t="s">
        <v>98</v>
      </c>
      <c r="L26" s="24" t="s">
        <v>166</v>
      </c>
      <c r="M26" s="23">
        <v>1</v>
      </c>
      <c r="N26" s="23"/>
      <c r="O26" s="23" t="s">
        <v>98</v>
      </c>
      <c r="P26" s="25">
        <f t="shared" si="1"/>
        <v>3.5</v>
      </c>
      <c r="Q26" s="25">
        <f t="shared" si="2"/>
        <v>0</v>
      </c>
      <c r="R26" s="26">
        <f t="shared" si="3"/>
        <v>0</v>
      </c>
      <c r="S26" s="24"/>
    </row>
    <row r="27" spans="1:19" ht="26.4" x14ac:dyDescent="0.3">
      <c r="A27" s="22">
        <v>46234</v>
      </c>
      <c r="B27" s="23" t="str">
        <f t="shared" si="0"/>
        <v>Fri</v>
      </c>
      <c r="C27" s="23">
        <v>4</v>
      </c>
      <c r="D27" s="24" t="s">
        <v>167</v>
      </c>
      <c r="E27" s="23">
        <v>1.5</v>
      </c>
      <c r="F27" s="23"/>
      <c r="G27" s="23" t="s">
        <v>98</v>
      </c>
      <c r="H27" s="24" t="s">
        <v>168</v>
      </c>
      <c r="I27" s="23">
        <v>1</v>
      </c>
      <c r="J27" s="23"/>
      <c r="K27" s="23" t="s">
        <v>98</v>
      </c>
      <c r="L27" s="24" t="s">
        <v>169</v>
      </c>
      <c r="M27" s="23">
        <v>1</v>
      </c>
      <c r="N27" s="23"/>
      <c r="O27" s="23" t="s">
        <v>98</v>
      </c>
      <c r="P27" s="25">
        <f t="shared" si="1"/>
        <v>3.5</v>
      </c>
      <c r="Q27" s="25">
        <f t="shared" si="2"/>
        <v>0</v>
      </c>
      <c r="R27" s="26">
        <f t="shared" si="3"/>
        <v>0</v>
      </c>
      <c r="S27" s="24"/>
    </row>
    <row r="28" spans="1:19" ht="26.4" x14ac:dyDescent="0.3">
      <c r="A28" s="22">
        <v>46235</v>
      </c>
      <c r="B28" s="23" t="str">
        <f t="shared" si="0"/>
        <v>Sat</v>
      </c>
      <c r="C28" s="23">
        <v>4</v>
      </c>
      <c r="D28" s="24" t="s">
        <v>170</v>
      </c>
      <c r="E28" s="23">
        <v>1.5</v>
      </c>
      <c r="F28" s="23"/>
      <c r="G28" s="23" t="s">
        <v>98</v>
      </c>
      <c r="H28" s="24" t="s">
        <v>171</v>
      </c>
      <c r="I28" s="23">
        <v>1</v>
      </c>
      <c r="J28" s="23"/>
      <c r="K28" s="23" t="s">
        <v>98</v>
      </c>
      <c r="L28" s="24" t="s">
        <v>172</v>
      </c>
      <c r="M28" s="23">
        <v>1</v>
      </c>
      <c r="N28" s="23"/>
      <c r="O28" s="23" t="s">
        <v>98</v>
      </c>
      <c r="P28" s="25">
        <f t="shared" si="1"/>
        <v>3.5</v>
      </c>
      <c r="Q28" s="25">
        <f t="shared" si="2"/>
        <v>0</v>
      </c>
      <c r="R28" s="26">
        <f t="shared" si="3"/>
        <v>0</v>
      </c>
      <c r="S28" s="24"/>
    </row>
    <row r="29" spans="1:19" ht="26.4" x14ac:dyDescent="0.3">
      <c r="A29" s="22">
        <v>46236</v>
      </c>
      <c r="B29" s="23" t="str">
        <f t="shared" si="0"/>
        <v>Sun</v>
      </c>
      <c r="C29" s="23">
        <v>4</v>
      </c>
      <c r="D29" s="24" t="s">
        <v>173</v>
      </c>
      <c r="E29" s="23">
        <v>1.5</v>
      </c>
      <c r="F29" s="23"/>
      <c r="G29" s="23" t="s">
        <v>98</v>
      </c>
      <c r="H29" s="24" t="s">
        <v>174</v>
      </c>
      <c r="I29" s="23">
        <v>1</v>
      </c>
      <c r="J29" s="23"/>
      <c r="K29" s="23" t="s">
        <v>98</v>
      </c>
      <c r="L29" s="24" t="s">
        <v>175</v>
      </c>
      <c r="M29" s="23">
        <v>1</v>
      </c>
      <c r="N29" s="23"/>
      <c r="O29" s="23" t="s">
        <v>98</v>
      </c>
      <c r="P29" s="25">
        <f t="shared" si="1"/>
        <v>3.5</v>
      </c>
      <c r="Q29" s="25">
        <f t="shared" si="2"/>
        <v>0</v>
      </c>
      <c r="R29" s="26">
        <f t="shared" si="3"/>
        <v>0</v>
      </c>
      <c r="S29" s="24"/>
    </row>
    <row r="30" spans="1:19" ht="26.4" x14ac:dyDescent="0.3">
      <c r="A30" s="22">
        <v>46237</v>
      </c>
      <c r="B30" s="23" t="str">
        <f t="shared" si="0"/>
        <v>Mon</v>
      </c>
      <c r="C30" s="23">
        <v>4</v>
      </c>
      <c r="D30" s="24" t="s">
        <v>176</v>
      </c>
      <c r="E30" s="23">
        <v>2</v>
      </c>
      <c r="F30" s="23"/>
      <c r="G30" s="23" t="s">
        <v>98</v>
      </c>
      <c r="H30" s="24" t="s">
        <v>177</v>
      </c>
      <c r="I30" s="23">
        <v>1.5</v>
      </c>
      <c r="J30" s="23"/>
      <c r="K30" s="23" t="s">
        <v>98</v>
      </c>
      <c r="L30" s="24" t="s">
        <v>178</v>
      </c>
      <c r="M30" s="23">
        <v>1.5</v>
      </c>
      <c r="N30" s="23"/>
      <c r="O30" s="23" t="s">
        <v>98</v>
      </c>
      <c r="P30" s="25">
        <f t="shared" si="1"/>
        <v>5</v>
      </c>
      <c r="Q30" s="25">
        <f t="shared" si="2"/>
        <v>0</v>
      </c>
      <c r="R30" s="26">
        <f t="shared" si="3"/>
        <v>0</v>
      </c>
      <c r="S30" s="24"/>
    </row>
    <row r="31" spans="1:19" ht="26.4" x14ac:dyDescent="0.3">
      <c r="A31" s="22">
        <v>46238</v>
      </c>
      <c r="B31" s="23" t="str">
        <f t="shared" si="0"/>
        <v>Tue</v>
      </c>
      <c r="C31" s="23">
        <v>4</v>
      </c>
      <c r="D31" s="24" t="s">
        <v>179</v>
      </c>
      <c r="E31" s="23">
        <v>1</v>
      </c>
      <c r="F31" s="23"/>
      <c r="G31" s="23" t="s">
        <v>98</v>
      </c>
      <c r="H31" s="24" t="s">
        <v>180</v>
      </c>
      <c r="I31" s="23">
        <v>1</v>
      </c>
      <c r="J31" s="23"/>
      <c r="K31" s="23" t="s">
        <v>98</v>
      </c>
      <c r="L31" s="24" t="s">
        <v>181</v>
      </c>
      <c r="M31" s="23">
        <v>1</v>
      </c>
      <c r="N31" s="23"/>
      <c r="O31" s="23" t="s">
        <v>98</v>
      </c>
      <c r="P31" s="25">
        <f t="shared" si="1"/>
        <v>3</v>
      </c>
      <c r="Q31" s="25">
        <f t="shared" si="2"/>
        <v>0</v>
      </c>
      <c r="R31" s="26">
        <f t="shared" si="3"/>
        <v>0</v>
      </c>
      <c r="S31" s="24"/>
    </row>
    <row r="32" spans="1:19" ht="26.4" x14ac:dyDescent="0.3">
      <c r="A32" s="18">
        <v>46239</v>
      </c>
      <c r="B32" s="16" t="str">
        <f t="shared" si="0"/>
        <v>Wed</v>
      </c>
      <c r="C32" s="16">
        <v>5</v>
      </c>
      <c r="D32" s="19" t="s">
        <v>182</v>
      </c>
      <c r="E32" s="16">
        <v>1.5</v>
      </c>
      <c r="F32" s="16"/>
      <c r="G32" s="16" t="s">
        <v>98</v>
      </c>
      <c r="H32" s="19" t="s">
        <v>183</v>
      </c>
      <c r="I32" s="16">
        <v>1</v>
      </c>
      <c r="J32" s="16"/>
      <c r="K32" s="16" t="s">
        <v>98</v>
      </c>
      <c r="L32" s="19" t="s">
        <v>184</v>
      </c>
      <c r="M32" s="16">
        <v>1</v>
      </c>
      <c r="N32" s="16"/>
      <c r="O32" s="16" t="s">
        <v>98</v>
      </c>
      <c r="P32" s="20">
        <f t="shared" si="1"/>
        <v>3.5</v>
      </c>
      <c r="Q32" s="20">
        <f t="shared" si="2"/>
        <v>0</v>
      </c>
      <c r="R32" s="21">
        <f t="shared" si="3"/>
        <v>0</v>
      </c>
      <c r="S32" s="19"/>
    </row>
    <row r="33" spans="1:19" ht="26.4" x14ac:dyDescent="0.3">
      <c r="A33" s="18">
        <v>46240</v>
      </c>
      <c r="B33" s="16" t="str">
        <f t="shared" si="0"/>
        <v>Thu</v>
      </c>
      <c r="C33" s="16">
        <v>5</v>
      </c>
      <c r="D33" s="19" t="s">
        <v>185</v>
      </c>
      <c r="E33" s="16">
        <v>1.5</v>
      </c>
      <c r="F33" s="16"/>
      <c r="G33" s="16" t="s">
        <v>98</v>
      </c>
      <c r="H33" s="19" t="s">
        <v>186</v>
      </c>
      <c r="I33" s="16">
        <v>1</v>
      </c>
      <c r="J33" s="16"/>
      <c r="K33" s="16" t="s">
        <v>98</v>
      </c>
      <c r="L33" s="19" t="s">
        <v>187</v>
      </c>
      <c r="M33" s="16">
        <v>1</v>
      </c>
      <c r="N33" s="16"/>
      <c r="O33" s="16" t="s">
        <v>98</v>
      </c>
      <c r="P33" s="20">
        <f t="shared" si="1"/>
        <v>3.5</v>
      </c>
      <c r="Q33" s="20">
        <f t="shared" si="2"/>
        <v>0</v>
      </c>
      <c r="R33" s="21">
        <f t="shared" si="3"/>
        <v>0</v>
      </c>
      <c r="S33" s="19"/>
    </row>
    <row r="34" spans="1:19" ht="26.4" x14ac:dyDescent="0.3">
      <c r="A34" s="18">
        <v>46241</v>
      </c>
      <c r="B34" s="16" t="str">
        <f t="shared" si="0"/>
        <v>Fri</v>
      </c>
      <c r="C34" s="16">
        <v>5</v>
      </c>
      <c r="D34" s="19" t="s">
        <v>188</v>
      </c>
      <c r="E34" s="16">
        <v>1.5</v>
      </c>
      <c r="F34" s="16"/>
      <c r="G34" s="16" t="s">
        <v>98</v>
      </c>
      <c r="H34" s="19" t="s">
        <v>189</v>
      </c>
      <c r="I34" s="16">
        <v>1</v>
      </c>
      <c r="J34" s="16"/>
      <c r="K34" s="16" t="s">
        <v>98</v>
      </c>
      <c r="L34" s="19" t="s">
        <v>190</v>
      </c>
      <c r="M34" s="16">
        <v>1</v>
      </c>
      <c r="N34" s="16"/>
      <c r="O34" s="16" t="s">
        <v>98</v>
      </c>
      <c r="P34" s="20">
        <f t="shared" si="1"/>
        <v>3.5</v>
      </c>
      <c r="Q34" s="20">
        <f t="shared" si="2"/>
        <v>0</v>
      </c>
      <c r="R34" s="21">
        <f t="shared" si="3"/>
        <v>0</v>
      </c>
      <c r="S34" s="19"/>
    </row>
    <row r="35" spans="1:19" ht="26.4" x14ac:dyDescent="0.3">
      <c r="A35" s="18">
        <v>46242</v>
      </c>
      <c r="B35" s="16" t="str">
        <f t="shared" si="0"/>
        <v>Sat</v>
      </c>
      <c r="C35" s="16">
        <v>5</v>
      </c>
      <c r="D35" s="19" t="s">
        <v>191</v>
      </c>
      <c r="E35" s="16">
        <v>1.5</v>
      </c>
      <c r="F35" s="16"/>
      <c r="G35" s="16" t="s">
        <v>98</v>
      </c>
      <c r="H35" s="19" t="s">
        <v>192</v>
      </c>
      <c r="I35" s="16">
        <v>1</v>
      </c>
      <c r="J35" s="16"/>
      <c r="K35" s="16" t="s">
        <v>98</v>
      </c>
      <c r="L35" s="19" t="s">
        <v>193</v>
      </c>
      <c r="M35" s="16">
        <v>1</v>
      </c>
      <c r="N35" s="16"/>
      <c r="O35" s="16" t="s">
        <v>98</v>
      </c>
      <c r="P35" s="20">
        <f t="shared" si="1"/>
        <v>3.5</v>
      </c>
      <c r="Q35" s="20">
        <f t="shared" si="2"/>
        <v>0</v>
      </c>
      <c r="R35" s="21">
        <f t="shared" si="3"/>
        <v>0</v>
      </c>
      <c r="S35" s="19"/>
    </row>
    <row r="36" spans="1:19" ht="26.4" x14ac:dyDescent="0.3">
      <c r="A36" s="18">
        <v>46243</v>
      </c>
      <c r="B36" s="16" t="str">
        <f t="shared" si="0"/>
        <v>Sun</v>
      </c>
      <c r="C36" s="16">
        <v>5</v>
      </c>
      <c r="D36" s="19" t="s">
        <v>194</v>
      </c>
      <c r="E36" s="16">
        <v>1.5</v>
      </c>
      <c r="F36" s="16"/>
      <c r="G36" s="16" t="s">
        <v>98</v>
      </c>
      <c r="H36" s="19" t="s">
        <v>195</v>
      </c>
      <c r="I36" s="16">
        <v>1</v>
      </c>
      <c r="J36" s="16"/>
      <c r="K36" s="16" t="s">
        <v>98</v>
      </c>
      <c r="L36" s="19" t="s">
        <v>196</v>
      </c>
      <c r="M36" s="16">
        <v>1</v>
      </c>
      <c r="N36" s="16"/>
      <c r="O36" s="16" t="s">
        <v>98</v>
      </c>
      <c r="P36" s="20">
        <f t="shared" si="1"/>
        <v>3.5</v>
      </c>
      <c r="Q36" s="20">
        <f t="shared" si="2"/>
        <v>0</v>
      </c>
      <c r="R36" s="21">
        <f t="shared" si="3"/>
        <v>0</v>
      </c>
      <c r="S36" s="19"/>
    </row>
    <row r="37" spans="1:19" ht="26.4" x14ac:dyDescent="0.3">
      <c r="A37" s="18">
        <v>46244</v>
      </c>
      <c r="B37" s="16" t="str">
        <f t="shared" si="0"/>
        <v>Mon</v>
      </c>
      <c r="C37" s="16">
        <v>5</v>
      </c>
      <c r="D37" s="19" t="s">
        <v>197</v>
      </c>
      <c r="E37" s="16">
        <v>2</v>
      </c>
      <c r="F37" s="16"/>
      <c r="G37" s="16" t="s">
        <v>98</v>
      </c>
      <c r="H37" s="19" t="s">
        <v>198</v>
      </c>
      <c r="I37" s="16">
        <v>1.5</v>
      </c>
      <c r="J37" s="16"/>
      <c r="K37" s="16" t="s">
        <v>98</v>
      </c>
      <c r="L37" s="19" t="s">
        <v>199</v>
      </c>
      <c r="M37" s="16">
        <v>1.5</v>
      </c>
      <c r="N37" s="16"/>
      <c r="O37" s="16" t="s">
        <v>98</v>
      </c>
      <c r="P37" s="20">
        <f t="shared" si="1"/>
        <v>5</v>
      </c>
      <c r="Q37" s="20">
        <f t="shared" si="2"/>
        <v>0</v>
      </c>
      <c r="R37" s="21">
        <f t="shared" si="3"/>
        <v>0</v>
      </c>
      <c r="S37" s="19"/>
    </row>
    <row r="38" spans="1:19" ht="26.4" x14ac:dyDescent="0.3">
      <c r="A38" s="18">
        <v>46245</v>
      </c>
      <c r="B38" s="16" t="str">
        <f t="shared" si="0"/>
        <v>Tue</v>
      </c>
      <c r="C38" s="16">
        <v>5</v>
      </c>
      <c r="D38" s="19" t="s">
        <v>200</v>
      </c>
      <c r="E38" s="16">
        <v>1</v>
      </c>
      <c r="F38" s="16"/>
      <c r="G38" s="16" t="s">
        <v>98</v>
      </c>
      <c r="H38" s="19" t="s">
        <v>201</v>
      </c>
      <c r="I38" s="16">
        <v>1</v>
      </c>
      <c r="J38" s="16"/>
      <c r="K38" s="16" t="s">
        <v>98</v>
      </c>
      <c r="L38" s="19" t="s">
        <v>201</v>
      </c>
      <c r="M38" s="16">
        <v>1</v>
      </c>
      <c r="N38" s="16"/>
      <c r="O38" s="16" t="s">
        <v>98</v>
      </c>
      <c r="P38" s="20">
        <f t="shared" si="1"/>
        <v>3</v>
      </c>
      <c r="Q38" s="20">
        <f t="shared" si="2"/>
        <v>0</v>
      </c>
      <c r="R38" s="21">
        <f t="shared" si="3"/>
        <v>0</v>
      </c>
      <c r="S38" s="19"/>
    </row>
  </sheetData>
  <conditionalFormatting sqref="G4:G38">
    <cfRule type="cellIs" dxfId="17" priority="2" operator="equal">
      <formula>"Done"</formula>
    </cfRule>
    <cfRule type="cellIs" dxfId="16" priority="3" operator="equal">
      <formula>"In Progress"</formula>
    </cfRule>
    <cfRule type="cellIs" dxfId="15" priority="4" operator="equal">
      <formula>"Not Started"</formula>
    </cfRule>
  </conditionalFormatting>
  <conditionalFormatting sqref="K4:K38">
    <cfRule type="cellIs" dxfId="14" priority="5" operator="equal">
      <formula>"Done"</formula>
    </cfRule>
    <cfRule type="cellIs" dxfId="13" priority="6" operator="equal">
      <formula>"In Progress"</formula>
    </cfRule>
    <cfRule type="cellIs" dxfId="12" priority="7" operator="equal">
      <formula>"Not Started"</formula>
    </cfRule>
  </conditionalFormatting>
  <conditionalFormatting sqref="O4:O38">
    <cfRule type="cellIs" dxfId="11" priority="8" operator="equal">
      <formula>"Done"</formula>
    </cfRule>
    <cfRule type="cellIs" dxfId="10" priority="9" operator="equal">
      <formula>"In Progress"</formula>
    </cfRule>
    <cfRule type="cellIs" dxfId="9" priority="10" operator="equal">
      <formula>"Not Started"</formula>
    </cfRule>
  </conditionalFormatting>
  <dataValidations count="1">
    <dataValidation type="list" allowBlank="1" sqref="G4:G38 K4:K38 O4:O38" xr:uid="{00000000-0002-0000-02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20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2" customWidth="1"/>
    <col min="2" max="2" width="30" customWidth="1"/>
    <col min="3" max="4" width="14" customWidth="1"/>
    <col min="5" max="5" width="12" customWidth="1"/>
    <col min="6" max="6" width="14" customWidth="1"/>
    <col min="7" max="7" width="30" customWidth="1"/>
  </cols>
  <sheetData>
    <row r="2" spans="1:7" ht="27.75" customHeight="1" x14ac:dyDescent="0.3">
      <c r="A2" s="10" t="s">
        <v>202</v>
      </c>
      <c r="B2" s="10" t="s">
        <v>203</v>
      </c>
      <c r="C2" s="10" t="s">
        <v>204</v>
      </c>
      <c r="D2" s="10" t="s">
        <v>205</v>
      </c>
      <c r="E2" s="10" t="s">
        <v>206</v>
      </c>
      <c r="F2" s="10" t="s">
        <v>207</v>
      </c>
      <c r="G2" s="10" t="s">
        <v>208</v>
      </c>
    </row>
    <row r="3" spans="1:7" ht="26.4" x14ac:dyDescent="0.3">
      <c r="A3" s="19" t="s">
        <v>209</v>
      </c>
      <c r="B3" s="19" t="s">
        <v>210</v>
      </c>
      <c r="C3" s="16">
        <v>15</v>
      </c>
      <c r="D3" s="16">
        <v>0</v>
      </c>
      <c r="E3" s="21">
        <f t="shared" ref="E3:E18" si="0">IF(C3=0,0,D3/C3)</f>
        <v>0</v>
      </c>
      <c r="F3" s="16" t="s">
        <v>98</v>
      </c>
      <c r="G3" s="19"/>
    </row>
    <row r="4" spans="1:7" x14ac:dyDescent="0.3">
      <c r="A4" s="24" t="s">
        <v>211</v>
      </c>
      <c r="B4" s="24" t="s">
        <v>212</v>
      </c>
      <c r="C4" s="23">
        <v>12</v>
      </c>
      <c r="D4" s="23">
        <v>0</v>
      </c>
      <c r="E4" s="26">
        <f t="shared" si="0"/>
        <v>0</v>
      </c>
      <c r="F4" s="23" t="s">
        <v>98</v>
      </c>
      <c r="G4" s="24"/>
    </row>
    <row r="5" spans="1:7" x14ac:dyDescent="0.3">
      <c r="A5" s="19" t="s">
        <v>213</v>
      </c>
      <c r="B5" s="19" t="s">
        <v>214</v>
      </c>
      <c r="C5" s="16">
        <v>10</v>
      </c>
      <c r="D5" s="16">
        <v>0</v>
      </c>
      <c r="E5" s="21">
        <f t="shared" si="0"/>
        <v>0</v>
      </c>
      <c r="F5" s="16" t="s">
        <v>98</v>
      </c>
      <c r="G5" s="19"/>
    </row>
    <row r="6" spans="1:7" x14ac:dyDescent="0.3">
      <c r="A6" s="24" t="s">
        <v>215</v>
      </c>
      <c r="B6" s="24" t="s">
        <v>214</v>
      </c>
      <c r="C6" s="23">
        <v>10</v>
      </c>
      <c r="D6" s="23">
        <v>0</v>
      </c>
      <c r="E6" s="26">
        <f t="shared" si="0"/>
        <v>0</v>
      </c>
      <c r="F6" s="23" t="s">
        <v>98</v>
      </c>
      <c r="G6" s="24"/>
    </row>
    <row r="7" spans="1:7" x14ac:dyDescent="0.3">
      <c r="A7" s="19" t="s">
        <v>216</v>
      </c>
      <c r="B7" s="19" t="s">
        <v>217</v>
      </c>
      <c r="C7" s="16">
        <v>12</v>
      </c>
      <c r="D7" s="16">
        <v>0</v>
      </c>
      <c r="E7" s="21">
        <f t="shared" si="0"/>
        <v>0</v>
      </c>
      <c r="F7" s="16" t="s">
        <v>98</v>
      </c>
      <c r="G7" s="19"/>
    </row>
    <row r="8" spans="1:7" x14ac:dyDescent="0.3">
      <c r="A8" s="24" t="s">
        <v>218</v>
      </c>
      <c r="B8" s="24" t="s">
        <v>214</v>
      </c>
      <c r="C8" s="23">
        <v>10</v>
      </c>
      <c r="D8" s="23">
        <v>0</v>
      </c>
      <c r="E8" s="26">
        <f t="shared" si="0"/>
        <v>0</v>
      </c>
      <c r="F8" s="23" t="s">
        <v>98</v>
      </c>
      <c r="G8" s="24"/>
    </row>
    <row r="9" spans="1:7" x14ac:dyDescent="0.3">
      <c r="A9" s="19" t="s">
        <v>219</v>
      </c>
      <c r="B9" s="19" t="s">
        <v>214</v>
      </c>
      <c r="C9" s="16">
        <v>8</v>
      </c>
      <c r="D9" s="16">
        <v>0</v>
      </c>
      <c r="E9" s="21">
        <f t="shared" si="0"/>
        <v>0</v>
      </c>
      <c r="F9" s="16" t="s">
        <v>98</v>
      </c>
      <c r="G9" s="19"/>
    </row>
    <row r="10" spans="1:7" x14ac:dyDescent="0.3">
      <c r="A10" s="24" t="s">
        <v>220</v>
      </c>
      <c r="B10" s="24" t="s">
        <v>221</v>
      </c>
      <c r="C10" s="23">
        <v>10</v>
      </c>
      <c r="D10" s="23">
        <v>0</v>
      </c>
      <c r="E10" s="26">
        <f t="shared" si="0"/>
        <v>0</v>
      </c>
      <c r="F10" s="23" t="s">
        <v>98</v>
      </c>
      <c r="G10" s="24"/>
    </row>
    <row r="11" spans="1:7" x14ac:dyDescent="0.3">
      <c r="A11" s="19" t="s">
        <v>222</v>
      </c>
      <c r="B11" s="19" t="s">
        <v>217</v>
      </c>
      <c r="C11" s="16">
        <v>15</v>
      </c>
      <c r="D11" s="16">
        <v>0</v>
      </c>
      <c r="E11" s="21">
        <f t="shared" si="0"/>
        <v>0</v>
      </c>
      <c r="F11" s="16" t="s">
        <v>98</v>
      </c>
      <c r="G11" s="19"/>
    </row>
    <row r="12" spans="1:7" x14ac:dyDescent="0.3">
      <c r="A12" s="24" t="s">
        <v>223</v>
      </c>
      <c r="B12" s="24" t="s">
        <v>214</v>
      </c>
      <c r="C12" s="23">
        <v>8</v>
      </c>
      <c r="D12" s="23">
        <v>0</v>
      </c>
      <c r="E12" s="26">
        <f t="shared" si="0"/>
        <v>0</v>
      </c>
      <c r="F12" s="23" t="s">
        <v>98</v>
      </c>
      <c r="G12" s="24"/>
    </row>
    <row r="13" spans="1:7" x14ac:dyDescent="0.3">
      <c r="A13" s="19" t="s">
        <v>224</v>
      </c>
      <c r="B13" s="19" t="s">
        <v>217</v>
      </c>
      <c r="C13" s="16">
        <v>15</v>
      </c>
      <c r="D13" s="16">
        <v>0</v>
      </c>
      <c r="E13" s="21">
        <f t="shared" si="0"/>
        <v>0</v>
      </c>
      <c r="F13" s="16" t="s">
        <v>98</v>
      </c>
      <c r="G13" s="19"/>
    </row>
    <row r="14" spans="1:7" x14ac:dyDescent="0.3">
      <c r="A14" s="24" t="s">
        <v>225</v>
      </c>
      <c r="B14" s="24" t="s">
        <v>226</v>
      </c>
      <c r="C14" s="23">
        <v>18</v>
      </c>
      <c r="D14" s="23">
        <v>0</v>
      </c>
      <c r="E14" s="26">
        <f t="shared" si="0"/>
        <v>0</v>
      </c>
      <c r="F14" s="23" t="s">
        <v>98</v>
      </c>
      <c r="G14" s="24"/>
    </row>
    <row r="15" spans="1:7" x14ac:dyDescent="0.3">
      <c r="A15" s="19" t="s">
        <v>227</v>
      </c>
      <c r="B15" s="19" t="s">
        <v>214</v>
      </c>
      <c r="C15" s="16">
        <v>8</v>
      </c>
      <c r="D15" s="16">
        <v>0</v>
      </c>
      <c r="E15" s="21">
        <f t="shared" si="0"/>
        <v>0</v>
      </c>
      <c r="F15" s="16" t="s">
        <v>98</v>
      </c>
      <c r="G15" s="19"/>
    </row>
    <row r="16" spans="1:7" x14ac:dyDescent="0.3">
      <c r="A16" s="24" t="s">
        <v>228</v>
      </c>
      <c r="B16" s="24" t="s">
        <v>229</v>
      </c>
      <c r="C16" s="23">
        <v>6</v>
      </c>
      <c r="D16" s="23">
        <v>0</v>
      </c>
      <c r="E16" s="26">
        <f t="shared" si="0"/>
        <v>0</v>
      </c>
      <c r="F16" s="23" t="s">
        <v>98</v>
      </c>
      <c r="G16" s="24"/>
    </row>
    <row r="17" spans="1:7" x14ac:dyDescent="0.3">
      <c r="A17" s="19" t="s">
        <v>230</v>
      </c>
      <c r="B17" s="19" t="s">
        <v>214</v>
      </c>
      <c r="C17" s="16">
        <v>10</v>
      </c>
      <c r="D17" s="16">
        <v>0</v>
      </c>
      <c r="E17" s="21">
        <f t="shared" si="0"/>
        <v>0</v>
      </c>
      <c r="F17" s="16" t="s">
        <v>98</v>
      </c>
      <c r="G17" s="19"/>
    </row>
    <row r="18" spans="1:7" x14ac:dyDescent="0.3">
      <c r="A18" s="24" t="s">
        <v>231</v>
      </c>
      <c r="B18" s="24" t="s">
        <v>232</v>
      </c>
      <c r="C18" s="23">
        <v>4</v>
      </c>
      <c r="D18" s="23">
        <v>0</v>
      </c>
      <c r="E18" s="26">
        <f t="shared" si="0"/>
        <v>0</v>
      </c>
      <c r="F18" s="23" t="s">
        <v>98</v>
      </c>
      <c r="G18" s="24"/>
    </row>
    <row r="20" spans="1:7" x14ac:dyDescent="0.3">
      <c r="A20" s="6" t="s">
        <v>233</v>
      </c>
      <c r="C20" s="6">
        <f>SUM(C3:C18)</f>
        <v>171</v>
      </c>
      <c r="D20" s="6">
        <f>SUM(D3:D18)</f>
        <v>0</v>
      </c>
      <c r="E20" s="27">
        <f>IF(C20=0,0,D20/C20)</f>
        <v>0</v>
      </c>
    </row>
  </sheetData>
  <conditionalFormatting sqref="F3:F18">
    <cfRule type="cellIs" dxfId="8" priority="2" operator="equal">
      <formula>"Done"</formula>
    </cfRule>
    <cfRule type="cellIs" dxfId="7" priority="3" operator="equal">
      <formula>"In Progress"</formula>
    </cfRule>
    <cfRule type="cellIs" dxfId="6" priority="4" operator="equal">
      <formula>"Not Started"</formula>
    </cfRule>
  </conditionalFormatting>
  <dataValidations count="1">
    <dataValidation type="list" allowBlank="1" sqref="F3:F18" xr:uid="{00000000-0002-0000-03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5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38" customWidth="1"/>
    <col min="2" max="2" width="32" customWidth="1"/>
    <col min="3" max="3" width="14" customWidth="1"/>
    <col min="4" max="4" width="34" customWidth="1"/>
  </cols>
  <sheetData>
    <row r="2" spans="1:4" ht="27.75" customHeight="1" x14ac:dyDescent="0.3">
      <c r="A2" s="10" t="s">
        <v>234</v>
      </c>
      <c r="B2" s="10" t="s">
        <v>235</v>
      </c>
      <c r="C2" s="10" t="s">
        <v>207</v>
      </c>
      <c r="D2" s="10" t="s">
        <v>208</v>
      </c>
    </row>
    <row r="3" spans="1:4" x14ac:dyDescent="0.3">
      <c r="A3" s="19" t="s">
        <v>236</v>
      </c>
      <c r="B3" s="19" t="s">
        <v>237</v>
      </c>
      <c r="C3" s="16" t="s">
        <v>98</v>
      </c>
      <c r="D3" s="19"/>
    </row>
    <row r="4" spans="1:4" x14ac:dyDescent="0.3">
      <c r="A4" s="24" t="s">
        <v>238</v>
      </c>
      <c r="B4" s="24" t="s">
        <v>239</v>
      </c>
      <c r="C4" s="23" t="s">
        <v>98</v>
      </c>
      <c r="D4" s="24"/>
    </row>
    <row r="5" spans="1:4" x14ac:dyDescent="0.3">
      <c r="A5" s="19" t="s">
        <v>240</v>
      </c>
      <c r="B5" s="19" t="s">
        <v>241</v>
      </c>
      <c r="C5" s="16" t="s">
        <v>98</v>
      </c>
      <c r="D5" s="19"/>
    </row>
    <row r="6" spans="1:4" x14ac:dyDescent="0.3">
      <c r="A6" s="24" t="s">
        <v>242</v>
      </c>
      <c r="B6" s="24" t="s">
        <v>243</v>
      </c>
      <c r="C6" s="23" t="s">
        <v>98</v>
      </c>
      <c r="D6" s="24"/>
    </row>
    <row r="7" spans="1:4" x14ac:dyDescent="0.3">
      <c r="A7" s="19" t="s">
        <v>244</v>
      </c>
      <c r="B7" s="19" t="s">
        <v>245</v>
      </c>
      <c r="C7" s="16" t="s">
        <v>98</v>
      </c>
      <c r="D7" s="19"/>
    </row>
    <row r="8" spans="1:4" x14ac:dyDescent="0.3">
      <c r="A8" s="24" t="s">
        <v>246</v>
      </c>
      <c r="B8" s="24" t="s">
        <v>247</v>
      </c>
      <c r="C8" s="23" t="s">
        <v>98</v>
      </c>
      <c r="D8" s="24"/>
    </row>
    <row r="9" spans="1:4" x14ac:dyDescent="0.3">
      <c r="A9" s="19" t="s">
        <v>248</v>
      </c>
      <c r="B9" s="19" t="s">
        <v>249</v>
      </c>
      <c r="C9" s="16" t="s">
        <v>98</v>
      </c>
      <c r="D9" s="19"/>
    </row>
    <row r="10" spans="1:4" x14ac:dyDescent="0.3">
      <c r="A10" s="24" t="s">
        <v>250</v>
      </c>
      <c r="B10" s="24" t="s">
        <v>251</v>
      </c>
      <c r="C10" s="23" t="s">
        <v>98</v>
      </c>
      <c r="D10" s="24"/>
    </row>
    <row r="11" spans="1:4" x14ac:dyDescent="0.3">
      <c r="A11" s="19" t="s">
        <v>252</v>
      </c>
      <c r="B11" s="19" t="s">
        <v>253</v>
      </c>
      <c r="C11" s="16" t="s">
        <v>98</v>
      </c>
      <c r="D11" s="19"/>
    </row>
    <row r="12" spans="1:4" x14ac:dyDescent="0.3">
      <c r="A12" s="24" t="s">
        <v>254</v>
      </c>
      <c r="B12" s="24" t="s">
        <v>255</v>
      </c>
      <c r="C12" s="23" t="s">
        <v>98</v>
      </c>
      <c r="D12" s="24"/>
    </row>
    <row r="13" spans="1:4" x14ac:dyDescent="0.3">
      <c r="A13" s="19" t="s">
        <v>256</v>
      </c>
      <c r="B13" s="19" t="s">
        <v>257</v>
      </c>
      <c r="C13" s="16" t="s">
        <v>98</v>
      </c>
      <c r="D13" s="19"/>
    </row>
    <row r="14" spans="1:4" x14ac:dyDescent="0.3">
      <c r="A14" s="24" t="s">
        <v>258</v>
      </c>
      <c r="B14" s="24" t="s">
        <v>259</v>
      </c>
      <c r="C14" s="23" t="s">
        <v>98</v>
      </c>
      <c r="D14" s="24"/>
    </row>
    <row r="15" spans="1:4" x14ac:dyDescent="0.3">
      <c r="A15" s="19" t="s">
        <v>260</v>
      </c>
      <c r="B15" s="19" t="s">
        <v>261</v>
      </c>
      <c r="C15" s="16" t="s">
        <v>98</v>
      </c>
      <c r="D15" s="19"/>
    </row>
  </sheetData>
  <conditionalFormatting sqref="C3:C15">
    <cfRule type="cellIs" dxfId="5" priority="2" operator="equal">
      <formula>"Done"</formula>
    </cfRule>
    <cfRule type="cellIs" dxfId="4" priority="3" operator="equal">
      <formula>"In Progress"</formula>
    </cfRule>
    <cfRule type="cellIs" dxfId="3" priority="4" operator="equal">
      <formula>"Not Started"</formula>
    </cfRule>
  </conditionalFormatting>
  <dataValidations count="1">
    <dataValidation type="list" allowBlank="1" sqref="C3:C15" xr:uid="{00000000-0002-0000-04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6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640625" defaultRowHeight="14.4" x14ac:dyDescent="0.3"/>
  <cols>
    <col min="1" max="1" width="42" customWidth="1"/>
    <col min="2" max="2" width="32" customWidth="1"/>
    <col min="3" max="3" width="14" customWidth="1"/>
    <col min="4" max="4" width="34" customWidth="1"/>
  </cols>
  <sheetData>
    <row r="2" spans="1:4" ht="27.75" customHeight="1" x14ac:dyDescent="0.3">
      <c r="A2" s="10" t="s">
        <v>202</v>
      </c>
      <c r="B2" s="10" t="s">
        <v>235</v>
      </c>
      <c r="C2" s="10" t="s">
        <v>207</v>
      </c>
      <c r="D2" s="10" t="s">
        <v>208</v>
      </c>
    </row>
    <row r="3" spans="1:4" ht="26.4" x14ac:dyDescent="0.3">
      <c r="A3" s="19" t="s">
        <v>262</v>
      </c>
      <c r="B3" s="19" t="s">
        <v>263</v>
      </c>
      <c r="C3" s="16" t="s">
        <v>98</v>
      </c>
      <c r="D3" s="19"/>
    </row>
    <row r="4" spans="1:4" x14ac:dyDescent="0.3">
      <c r="A4" s="24" t="s">
        <v>264</v>
      </c>
      <c r="B4" s="24" t="s">
        <v>265</v>
      </c>
      <c r="C4" s="23" t="s">
        <v>98</v>
      </c>
      <c r="D4" s="24"/>
    </row>
    <row r="5" spans="1:4" x14ac:dyDescent="0.3">
      <c r="A5" s="19" t="s">
        <v>266</v>
      </c>
      <c r="B5" s="19" t="s">
        <v>267</v>
      </c>
      <c r="C5" s="16" t="s">
        <v>98</v>
      </c>
      <c r="D5" s="19"/>
    </row>
    <row r="6" spans="1:4" x14ac:dyDescent="0.3">
      <c r="A6" s="24" t="s">
        <v>268</v>
      </c>
      <c r="B6" s="24" t="s">
        <v>269</v>
      </c>
      <c r="C6" s="23" t="s">
        <v>98</v>
      </c>
      <c r="D6" s="24"/>
    </row>
    <row r="7" spans="1:4" x14ac:dyDescent="0.3">
      <c r="A7" s="19" t="s">
        <v>270</v>
      </c>
      <c r="B7" s="19" t="s">
        <v>271</v>
      </c>
      <c r="C7" s="16" t="s">
        <v>98</v>
      </c>
      <c r="D7" s="19"/>
    </row>
    <row r="8" spans="1:4" x14ac:dyDescent="0.3">
      <c r="A8" s="24" t="s">
        <v>272</v>
      </c>
      <c r="B8" s="24" t="s">
        <v>273</v>
      </c>
      <c r="C8" s="23" t="s">
        <v>98</v>
      </c>
      <c r="D8" s="24"/>
    </row>
    <row r="9" spans="1:4" ht="26.4" x14ac:dyDescent="0.3">
      <c r="A9" s="19" t="s">
        <v>274</v>
      </c>
      <c r="B9" s="19" t="s">
        <v>275</v>
      </c>
      <c r="C9" s="16" t="s">
        <v>98</v>
      </c>
      <c r="D9" s="19"/>
    </row>
    <row r="10" spans="1:4" ht="26.4" x14ac:dyDescent="0.3">
      <c r="A10" s="24" t="s">
        <v>276</v>
      </c>
      <c r="B10" s="24" t="s">
        <v>277</v>
      </c>
      <c r="C10" s="23" t="s">
        <v>98</v>
      </c>
      <c r="D10" s="24"/>
    </row>
    <row r="11" spans="1:4" x14ac:dyDescent="0.3">
      <c r="A11" s="19" t="s">
        <v>278</v>
      </c>
      <c r="B11" s="19" t="s">
        <v>279</v>
      </c>
      <c r="C11" s="16" t="s">
        <v>98</v>
      </c>
      <c r="D11" s="19"/>
    </row>
    <row r="12" spans="1:4" x14ac:dyDescent="0.3">
      <c r="A12" s="24" t="s">
        <v>280</v>
      </c>
      <c r="B12" s="24" t="s">
        <v>281</v>
      </c>
      <c r="C12" s="23" t="s">
        <v>98</v>
      </c>
      <c r="D12" s="24"/>
    </row>
    <row r="13" spans="1:4" x14ac:dyDescent="0.3">
      <c r="A13" s="19" t="s">
        <v>282</v>
      </c>
      <c r="B13" s="19" t="s">
        <v>283</v>
      </c>
      <c r="C13" s="16" t="s">
        <v>98</v>
      </c>
      <c r="D13" s="19"/>
    </row>
    <row r="14" spans="1:4" x14ac:dyDescent="0.3">
      <c r="A14" s="24" t="s">
        <v>284</v>
      </c>
      <c r="B14" s="24" t="s">
        <v>259</v>
      </c>
      <c r="C14" s="23" t="s">
        <v>98</v>
      </c>
      <c r="D14" s="24"/>
    </row>
    <row r="15" spans="1:4" x14ac:dyDescent="0.3">
      <c r="A15" s="19" t="s">
        <v>285</v>
      </c>
      <c r="B15" s="19" t="s">
        <v>286</v>
      </c>
      <c r="C15" s="16" t="s">
        <v>98</v>
      </c>
      <c r="D15" s="19"/>
    </row>
    <row r="16" spans="1:4" x14ac:dyDescent="0.3">
      <c r="A16" s="24" t="s">
        <v>287</v>
      </c>
      <c r="B16" s="24" t="s">
        <v>288</v>
      </c>
      <c r="C16" s="23" t="s">
        <v>98</v>
      </c>
      <c r="D16" s="24"/>
    </row>
  </sheetData>
  <conditionalFormatting sqref="C3:C16">
    <cfRule type="cellIs" dxfId="2" priority="2" operator="equal">
      <formula>"Done"</formula>
    </cfRule>
    <cfRule type="cellIs" dxfId="1" priority="3" operator="equal">
      <formula>"In Progress"</formula>
    </cfRule>
    <cfRule type="cellIs" dxfId="0" priority="4" operator="equal">
      <formula>"Not Started"</formula>
    </cfRule>
  </conditionalFormatting>
  <dataValidations count="1">
    <dataValidation type="list" allowBlank="1" sqref="C3:C16" xr:uid="{00000000-0002-0000-0500-000000000000}">
      <formula1>"Not Started,In Progress,Done"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Dashboard</vt:lpstr>
      <vt:lpstr>Daily Tracker</vt:lpstr>
      <vt:lpstr>DSA Checklist</vt:lpstr>
      <vt:lpstr>AI Checklist</vt:lpstr>
      <vt:lpstr>DE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saniyamore31@gmail.com</cp:lastModifiedBy>
  <cp:revision>1</cp:revision>
  <dcterms:created xsi:type="dcterms:W3CDTF">2026-07-08T13:34:37Z</dcterms:created>
  <dcterms:modified xsi:type="dcterms:W3CDTF">2026-07-08T14:33:25Z</dcterms:modified>
  <dc:language>en-US</dc:language>
</cp:coreProperties>
</file>